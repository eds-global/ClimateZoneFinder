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S_Projects\S25129_Climate Zone Finder\git\ClimateZoneFinder\"/>
    </mc:Choice>
  </mc:AlternateContent>
  <xr:revisionPtr revIDLastSave="0" documentId="13_ncr:1_{F5B88412-8F72-4AA5-B863-B8137AD7BA16}" xr6:coauthVersionLast="47" xr6:coauthVersionMax="47" xr10:uidLastSave="{00000000-0000-0000-0000-000000000000}"/>
  <bookViews>
    <workbookView xWindow="-108" yWindow="-108" windowWidth="23256" windowHeight="12456" xr2:uid="{AF33B568-C928-4D88-B064-E16121AC4B71}"/>
  </bookViews>
  <sheets>
    <sheet name="Sheet1" sheetId="1" r:id="rId1"/>
    <sheet name="Sheet2" sheetId="2" r:id="rId2"/>
  </sheets>
  <definedNames>
    <definedName name="_xlnm._FilterDatabase" localSheetId="0" hidden="1">Sheet1!$D$1:$L$730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28" i="1" l="1"/>
  <c r="M720" i="1"/>
  <c r="M719" i="1"/>
  <c r="M718" i="1"/>
  <c r="M716" i="1"/>
  <c r="M713" i="1"/>
  <c r="M711" i="1"/>
  <c r="M709" i="1"/>
  <c r="M705" i="1"/>
  <c r="M699" i="1"/>
  <c r="M697" i="1"/>
  <c r="M694" i="1"/>
  <c r="M692" i="1"/>
  <c r="M686" i="1"/>
  <c r="M676" i="1"/>
  <c r="M674" i="1"/>
  <c r="M673" i="1"/>
  <c r="M671" i="1"/>
  <c r="M668" i="1"/>
  <c r="M665" i="1"/>
  <c r="M659" i="1"/>
  <c r="M655" i="1"/>
  <c r="M654" i="1"/>
  <c r="M653" i="1"/>
  <c r="M652" i="1"/>
  <c r="M651" i="1"/>
  <c r="M650" i="1"/>
  <c r="M646" i="1"/>
  <c r="M644" i="1"/>
  <c r="M639" i="1"/>
  <c r="M635" i="1"/>
  <c r="M634" i="1"/>
  <c r="M632" i="1"/>
  <c r="M630" i="1"/>
  <c r="M629" i="1"/>
  <c r="M621" i="1"/>
  <c r="M620" i="1"/>
  <c r="M600" i="1"/>
  <c r="M597" i="1"/>
  <c r="M593" i="1"/>
  <c r="M588" i="1"/>
  <c r="M581" i="1"/>
  <c r="M579" i="1"/>
  <c r="M576" i="1"/>
  <c r="M570" i="1"/>
  <c r="M567" i="1"/>
  <c r="M564" i="1"/>
  <c r="M557" i="1"/>
  <c r="M555" i="1"/>
  <c r="M549" i="1"/>
  <c r="M548" i="1"/>
  <c r="M547" i="1"/>
  <c r="M546" i="1"/>
  <c r="M544" i="1"/>
  <c r="M539" i="1"/>
  <c r="M538" i="1"/>
  <c r="M535" i="1"/>
  <c r="M534" i="1"/>
  <c r="M531" i="1"/>
  <c r="M527" i="1"/>
  <c r="M525" i="1"/>
  <c r="M523" i="1"/>
  <c r="M522" i="1"/>
  <c r="M519" i="1"/>
  <c r="M517" i="1"/>
  <c r="M516" i="1"/>
  <c r="M515" i="1"/>
  <c r="M514" i="1"/>
  <c r="M513" i="1"/>
  <c r="M511" i="1"/>
  <c r="M508" i="1"/>
  <c r="M507" i="1"/>
  <c r="M504" i="1"/>
  <c r="M502" i="1"/>
  <c r="M498" i="1"/>
  <c r="M496" i="1"/>
  <c r="M485" i="1"/>
  <c r="M483" i="1"/>
  <c r="M481" i="1"/>
  <c r="M478" i="1"/>
  <c r="M476" i="1"/>
  <c r="M470" i="1"/>
  <c r="M464" i="1"/>
  <c r="M457" i="1"/>
  <c r="M453" i="1"/>
  <c r="M451" i="1"/>
  <c r="M444" i="1"/>
  <c r="M441" i="1"/>
  <c r="M402" i="1"/>
  <c r="M401" i="1"/>
  <c r="M399" i="1"/>
  <c r="M397" i="1"/>
  <c r="M396" i="1"/>
  <c r="M395" i="1"/>
  <c r="M393" i="1"/>
  <c r="M392" i="1"/>
  <c r="M389" i="1"/>
  <c r="M388" i="1"/>
  <c r="M387" i="1"/>
  <c r="M386" i="1"/>
  <c r="M382" i="1"/>
  <c r="M381" i="1"/>
  <c r="M380" i="1"/>
  <c r="M378" i="1"/>
  <c r="M375" i="1"/>
  <c r="M371" i="1"/>
  <c r="M369" i="1"/>
  <c r="M366" i="1"/>
  <c r="M365" i="1"/>
  <c r="M364" i="1"/>
  <c r="M362" i="1"/>
  <c r="M361" i="1"/>
  <c r="M360" i="1"/>
  <c r="M359" i="1"/>
  <c r="M357" i="1"/>
  <c r="M355" i="1"/>
  <c r="M354" i="1"/>
  <c r="M353" i="1"/>
  <c r="M352" i="1"/>
  <c r="M351" i="1"/>
  <c r="M350" i="1"/>
  <c r="M349" i="1"/>
  <c r="M347" i="1"/>
  <c r="M346" i="1"/>
  <c r="M343" i="1"/>
  <c r="M342" i="1"/>
  <c r="M341" i="1"/>
  <c r="M338" i="1"/>
  <c r="M337" i="1"/>
  <c r="M336" i="1"/>
  <c r="M334" i="1"/>
  <c r="M333" i="1"/>
  <c r="M331" i="1"/>
  <c r="M329" i="1"/>
  <c r="M328" i="1"/>
  <c r="M327" i="1"/>
  <c r="M324" i="1"/>
  <c r="M322" i="1"/>
  <c r="M314" i="1"/>
  <c r="M311" i="1"/>
  <c r="M310" i="1"/>
  <c r="M308" i="1"/>
  <c r="M306" i="1"/>
  <c r="M305" i="1"/>
  <c r="M293" i="1"/>
  <c r="M291" i="1"/>
  <c r="M289" i="1"/>
  <c r="M288" i="1"/>
  <c r="M287" i="1"/>
  <c r="M285" i="1"/>
  <c r="M284" i="1"/>
  <c r="M283" i="1"/>
  <c r="M282" i="1"/>
  <c r="M281" i="1"/>
  <c r="M278" i="1"/>
  <c r="M274" i="1"/>
  <c r="M273" i="1"/>
  <c r="M272" i="1"/>
  <c r="M269" i="1"/>
  <c r="M264" i="1"/>
  <c r="M255" i="1"/>
  <c r="M249" i="1"/>
  <c r="M243" i="1"/>
  <c r="M241" i="1"/>
  <c r="M231" i="1"/>
  <c r="M224" i="1"/>
  <c r="M221" i="1"/>
  <c r="M220" i="1"/>
  <c r="M218" i="1"/>
  <c r="M215" i="1"/>
  <c r="M213" i="1"/>
  <c r="M209" i="1"/>
  <c r="M201" i="1"/>
  <c r="M191" i="1"/>
  <c r="M187" i="1"/>
  <c r="M186" i="1"/>
  <c r="M184" i="1"/>
  <c r="M183" i="1"/>
  <c r="M170" i="1"/>
  <c r="M164" i="1"/>
  <c r="M159" i="1"/>
  <c r="M158" i="1"/>
  <c r="M147" i="1"/>
  <c r="M144" i="1"/>
  <c r="M143" i="1"/>
  <c r="C116" i="1"/>
  <c r="C117" i="1"/>
  <c r="C118" i="1"/>
  <c r="C119" i="1"/>
  <c r="C120" i="1"/>
  <c r="M120" i="1" s="1"/>
  <c r="C121" i="1"/>
  <c r="M121" i="1" s="1"/>
  <c r="C122" i="1"/>
  <c r="C123" i="1"/>
  <c r="C124" i="1"/>
  <c r="M124" i="1" s="1"/>
  <c r="C125" i="1"/>
  <c r="C126" i="1"/>
  <c r="C127" i="1"/>
  <c r="M127" i="1" s="1"/>
  <c r="C128" i="1"/>
  <c r="C129" i="1"/>
  <c r="C130" i="1"/>
  <c r="C131" i="1"/>
  <c r="C132" i="1"/>
  <c r="C133" i="1"/>
  <c r="C134" i="1"/>
  <c r="C135" i="1"/>
  <c r="C136" i="1"/>
  <c r="M136" i="1" s="1"/>
  <c r="C137" i="1"/>
  <c r="M137" i="1" s="1"/>
  <c r="C138" i="1"/>
  <c r="M138" i="1" s="1"/>
  <c r="C139" i="1"/>
  <c r="C140" i="1"/>
  <c r="C141" i="1"/>
  <c r="C115" i="1"/>
  <c r="C114" i="1"/>
  <c r="M114" i="1" s="1"/>
  <c r="C77" i="1"/>
  <c r="C78" i="1"/>
  <c r="M78" i="1" s="1"/>
  <c r="C79" i="1"/>
  <c r="C80" i="1"/>
  <c r="C81" i="1"/>
  <c r="M81" i="1" s="1"/>
  <c r="C82" i="1"/>
  <c r="C83" i="1"/>
  <c r="C84" i="1"/>
  <c r="M84" i="1" s="1"/>
  <c r="C85" i="1"/>
  <c r="C86" i="1"/>
  <c r="M86" i="1" s="1"/>
  <c r="C87" i="1"/>
  <c r="C88" i="1"/>
  <c r="C89" i="1"/>
  <c r="C90" i="1"/>
  <c r="C91" i="1"/>
  <c r="C92" i="1"/>
  <c r="C93" i="1"/>
  <c r="C94" i="1"/>
  <c r="C95" i="1"/>
  <c r="C96" i="1"/>
  <c r="C97" i="1"/>
  <c r="C98" i="1"/>
  <c r="M98" i="1" s="1"/>
  <c r="C99" i="1"/>
  <c r="C100" i="1"/>
  <c r="C101" i="1"/>
  <c r="M101" i="1" s="1"/>
  <c r="C102" i="1"/>
  <c r="C103" i="1"/>
  <c r="C104" i="1"/>
  <c r="C105" i="1"/>
  <c r="C106" i="1"/>
  <c r="C107" i="1"/>
  <c r="C108" i="1"/>
  <c r="C109" i="1"/>
  <c r="C110" i="1"/>
  <c r="C111" i="1"/>
  <c r="M111" i="1" s="1"/>
  <c r="C112" i="1"/>
  <c r="C113" i="1"/>
  <c r="C76" i="1"/>
  <c r="C44" i="1"/>
  <c r="C45" i="1"/>
  <c r="C46" i="1"/>
  <c r="C47" i="1"/>
  <c r="C48" i="1"/>
  <c r="C49" i="1"/>
  <c r="C50" i="1"/>
  <c r="C51" i="1"/>
  <c r="C52" i="1"/>
  <c r="M52" i="1" s="1"/>
  <c r="C53" i="1"/>
  <c r="M53" i="1" s="1"/>
  <c r="C54" i="1"/>
  <c r="C55" i="1"/>
  <c r="M55" i="1" s="1"/>
  <c r="C56" i="1"/>
  <c r="M56" i="1" s="1"/>
  <c r="C57" i="1"/>
  <c r="C58" i="1"/>
  <c r="C59" i="1"/>
  <c r="M59" i="1" s="1"/>
  <c r="C60" i="1"/>
  <c r="C61" i="1"/>
  <c r="C62" i="1"/>
  <c r="C63" i="1"/>
  <c r="C64" i="1"/>
  <c r="C65" i="1"/>
  <c r="C66" i="1"/>
  <c r="C67" i="1"/>
  <c r="C68" i="1"/>
  <c r="C69" i="1"/>
  <c r="C70" i="1"/>
  <c r="M70" i="1" s="1"/>
  <c r="C71" i="1"/>
  <c r="C72" i="1"/>
  <c r="C73" i="1"/>
  <c r="C74" i="1"/>
  <c r="C75" i="1"/>
  <c r="C43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18" i="1"/>
  <c r="C6" i="1"/>
  <c r="C7" i="1"/>
  <c r="C8" i="1"/>
  <c r="C9" i="1"/>
  <c r="C10" i="1"/>
  <c r="M10" i="1" s="1"/>
  <c r="C11" i="1"/>
  <c r="M11" i="1" s="1"/>
  <c r="C12" i="1"/>
  <c r="M12" i="1" s="1"/>
  <c r="C13" i="1"/>
  <c r="C14" i="1"/>
  <c r="C15" i="1"/>
  <c r="C16" i="1"/>
  <c r="C17" i="1"/>
  <c r="C5" i="1"/>
  <c r="M5" i="1" s="1"/>
  <c r="C3" i="1"/>
  <c r="C4" i="1"/>
  <c r="C2" i="1"/>
  <c r="M2" i="1" s="1"/>
</calcChain>
</file>

<file path=xl/sharedStrings.xml><?xml version="1.0" encoding="utf-8"?>
<sst xmlns="http://schemas.openxmlformats.org/spreadsheetml/2006/main" count="5729" uniqueCount="1252">
  <si>
    <t>Country</t>
  </si>
  <si>
    <t>Location</t>
  </si>
  <si>
    <t>Climate Zone</t>
  </si>
  <si>
    <t>Latitude</t>
  </si>
  <si>
    <t>Longitude</t>
  </si>
  <si>
    <t>EPW File</t>
  </si>
  <si>
    <t>State</t>
  </si>
  <si>
    <t>Andaman Nicobar</t>
  </si>
  <si>
    <t>Andhra Pradesh</t>
  </si>
  <si>
    <t>Arunachal Pradesh</t>
  </si>
  <si>
    <t>Assam</t>
  </si>
  <si>
    <t>Bihar</t>
  </si>
  <si>
    <t>Chandigarh</t>
  </si>
  <si>
    <t>Chhattisgarh</t>
  </si>
  <si>
    <t>Dadra Nagar Haveli</t>
  </si>
  <si>
    <t>Daman Diu</t>
  </si>
  <si>
    <t>Delhi</t>
  </si>
  <si>
    <t>Goa</t>
  </si>
  <si>
    <t>Gujarat</t>
  </si>
  <si>
    <t>Haryana</t>
  </si>
  <si>
    <t>Himachal Pradesh</t>
  </si>
  <si>
    <t>Jammu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</si>
  <si>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</si>
  <si>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</si>
  <si>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</si>
  <si>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</si>
  <si>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</si>
  <si>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</si>
  <si>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</si>
  <si>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</si>
  <si>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</si>
  <si>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</si>
  <si>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</si>
  <si>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</si>
  <si>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</si>
  <si>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</si>
  <si>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</si>
  <si>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</si>
  <si>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</si>
  <si>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</si>
  <si>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</si>
  <si>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</si>
  <si>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</si>
  <si>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</si>
  <si>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Nicobar</t>
  </si>
  <si>
    <t>North Middle Andaman</t>
  </si>
  <si>
    <t>South Andaman</t>
  </si>
  <si>
    <t>Anantapur</t>
  </si>
  <si>
    <t>Chittoor</t>
  </si>
  <si>
    <t>East Godavari</t>
  </si>
  <si>
    <t>Guntur</t>
  </si>
  <si>
    <t>Kadapa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</si>
  <si>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</si>
  <si>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</si>
  <si>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</si>
  <si>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</si>
  <si>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</si>
  <si>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</si>
  <si>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</si>
  <si>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</si>
  <si>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Anjaw</t>
  </si>
  <si>
    <t>Central Siang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</si>
  <si>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</si>
  <si>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</si>
  <si>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</si>
  <si>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</si>
  <si>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</si>
  <si>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</si>
  <si>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</si>
  <si>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</si>
  <si>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</si>
  <si>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</si>
  <si>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</si>
  <si>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</si>
  <si>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</si>
  <si>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</si>
  <si>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</si>
  <si>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</si>
  <si>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</si>
  <si>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</si>
  <si>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</si>
  <si>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</si>
  <si>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</si>
  <si>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</si>
  <si>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</si>
  <si>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</si>
  <si>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</si>
  <si>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</si>
  <si>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</si>
  <si>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</si>
  <si>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</si>
  <si>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</si>
  <si>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</si>
  <si>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</si>
  <si>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</si>
  <si>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</si>
  <si>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</si>
  <si>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</si>
  <si>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</si>
  <si>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</si>
  <si>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</si>
  <si>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</si>
  <si>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</si>
  <si>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</si>
  <si>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</si>
  <si>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</si>
  <si>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</si>
  <si>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</si>
  <si>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</si>
  <si>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</si>
  <si>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</si>
  <si>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</si>
  <si>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</si>
  <si>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</si>
  <si>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Salmara-Mankachar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</si>
  <si>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</si>
  <si>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</si>
  <si>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</si>
  <si>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</si>
  <si>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</si>
  <si>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</si>
  <si>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</si>
  <si>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</si>
  <si>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</si>
  <si>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</si>
  <si>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</si>
  <si>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</si>
  <si>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</si>
  <si>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</si>
  <si>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</si>
  <si>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</si>
  <si>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</si>
  <si>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</si>
  <si>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</si>
  <si>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</si>
  <si>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</si>
  <si>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</si>
  <si>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</si>
  <si>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</si>
  <si>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</si>
  <si>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</si>
  <si>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</si>
  <si>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</si>
  <si>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</si>
  <si>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</si>
  <si>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</si>
  <si>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</si>
  <si>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</si>
  <si>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</si>
  <si>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</si>
  <si>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</si>
  <si>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</si>
  <si>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</si>
  <si>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</si>
  <si>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</si>
  <si>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</si>
  <si>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</si>
  <si>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</si>
  <si>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</si>
  <si>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</si>
  <si>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</si>
  <si>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</si>
  <si>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</si>
  <si>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</si>
  <si>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</si>
  <si>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</si>
  <si>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</si>
  <si>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 Champa</t>
  </si>
  <si>
    <t>Jashpur</t>
  </si>
  <si>
    <t>Kabirdham</t>
  </si>
  <si>
    <t>Kanker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</si>
  <si>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</si>
  <si>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</si>
  <si>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</si>
  <si>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</si>
  <si>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</si>
  <si>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</si>
  <si>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</si>
  <si>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</si>
  <si>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</si>
  <si>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</si>
  <si>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</si>
  <si>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</si>
  <si>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Daman</t>
  </si>
  <si>
    <t>Diu</t>
  </si>
  <si>
    <t>Central Delhi</t>
  </si>
  <si>
    <t>East Delhi</t>
  </si>
  <si>
    <t>New Delhi</t>
  </si>
  <si>
    <t>North Delhi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</si>
  <si>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</si>
  <si>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</si>
  <si>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</si>
  <si>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</si>
  <si>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</si>
  <si>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</si>
  <si>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</si>
  <si>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North Goa</t>
  </si>
  <si>
    <t>South Goa</t>
  </si>
  <si>
    <t>Ahmedabad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</si>
  <si>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</si>
  <si>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</si>
  <si>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</si>
  <si>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</si>
  <si>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</si>
  <si>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</si>
  <si>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</si>
  <si>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</si>
  <si>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</si>
  <si>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</si>
  <si>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</si>
  <si>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</si>
  <si>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</si>
  <si>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</si>
  <si>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</si>
  <si>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Kheda</t>
  </si>
  <si>
    <t>Kutch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</si>
  <si>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</si>
  <si>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</si>
  <si>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</si>
  <si>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</si>
  <si>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</si>
  <si>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</si>
  <si>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</si>
  <si>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</si>
  <si>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</si>
  <si>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</si>
  <si>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</si>
  <si>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</si>
  <si>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</si>
  <si>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</si>
  <si>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</si>
  <si>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</si>
  <si>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</si>
  <si>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</si>
  <si>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</si>
  <si>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</si>
  <si>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</si>
  <si>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</si>
  <si>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</si>
  <si>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</si>
  <si>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</si>
  <si>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</si>
  <si>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</si>
  <si>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</si>
  <si>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</si>
  <si>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</si>
  <si>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</si>
  <si>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</si>
  <si>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</si>
  <si>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</si>
  <si>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</si>
  <si>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</si>
  <si>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</si>
  <si>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</si>
  <si>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</si>
  <si>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</si>
  <si>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</si>
  <si>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</si>
  <si>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Lahaul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</si>
  <si>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</si>
  <si>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</si>
  <si>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</si>
  <si>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</si>
  <si>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</si>
  <si>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</si>
  <si>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</si>
  <si>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</si>
  <si>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</si>
  <si>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</si>
  <si>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</si>
  <si>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</si>
  <si>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</si>
  <si>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</si>
  <si>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</si>
  <si>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</si>
  <si>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</si>
  <si>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</si>
  <si>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</si>
  <si>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</si>
  <si>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</si>
  <si>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</si>
  <si>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</si>
  <si>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</si>
  <si>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</si>
  <si>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</si>
  <si>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</si>
  <si>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</si>
  <si>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</si>
  <si>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</si>
  <si>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</si>
  <si>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</si>
  <si>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</si>
  <si>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</si>
  <si>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</si>
  <si>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</si>
  <si>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</si>
  <si>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</si>
  <si>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</si>
  <si>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</si>
  <si>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</si>
  <si>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</si>
  <si>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</si>
  <si>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</si>
  <si>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</si>
  <si>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</si>
  <si>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 Kharsawan</t>
  </si>
  <si>
    <t>Simdega</t>
  </si>
  <si>
    <t>West Singhbhum</t>
  </si>
  <si>
    <t>Bagalkot</t>
  </si>
  <si>
    <t>Bangalore Rural</t>
  </si>
  <si>
    <t>Bangalore Urban</t>
  </si>
  <si>
    <t>Belgaum</t>
  </si>
  <si>
    <t>Bellary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</si>
  <si>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</si>
  <si>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</si>
  <si>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</si>
  <si>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</si>
  <si>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</si>
  <si>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</si>
  <si>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</si>
  <si>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</si>
  <si>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</si>
  <si>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</si>
  <si>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</si>
  <si>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</si>
  <si>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</si>
  <si>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</si>
  <si>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</si>
  <si>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</si>
  <si>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</si>
  <si>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</si>
  <si>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</si>
  <si>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</si>
  <si>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</si>
  <si>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</si>
  <si>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</si>
  <si>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</si>
  <si>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</si>
  <si>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</si>
  <si>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</si>
  <si>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</si>
  <si>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</si>
  <si>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</si>
  <si>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</si>
  <si>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</si>
  <si>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</si>
  <si>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</si>
  <si>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</si>
  <si>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</si>
  <si>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</si>
  <si>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</si>
  <si>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</si>
  <si>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</si>
  <si>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</si>
  <si>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</si>
  <si>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</si>
  <si>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</si>
  <si>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</si>
  <si>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</si>
  <si>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</si>
  <si>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</si>
  <si>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</si>
  <si>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</si>
  <si>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</si>
  <si>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</si>
  <si>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</si>
  <si>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</si>
  <si>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</si>
  <si>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</si>
  <si>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</si>
  <si>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</si>
  <si>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</si>
  <si>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</si>
  <si>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</si>
  <si>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</si>
  <si>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</si>
  <si>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</si>
  <si>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</si>
  <si>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</si>
  <si>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</si>
  <si>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</si>
  <si>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</si>
  <si>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</si>
  <si>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</si>
  <si>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</si>
  <si>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</si>
  <si>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</si>
  <si>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</si>
  <si>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</si>
  <si>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</si>
  <si>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</si>
  <si>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</si>
  <si>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</si>
  <si>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</si>
  <si>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</si>
  <si>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</si>
  <si>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</si>
  <si>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</si>
  <si>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</si>
  <si>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</si>
  <si>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</si>
  <si>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</si>
  <si>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</si>
  <si>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</si>
  <si>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</si>
  <si>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</si>
  <si>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</si>
  <si>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</si>
  <si>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</si>
  <si>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</si>
  <si>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</si>
  <si>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</si>
  <si>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</si>
  <si>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</si>
  <si>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</si>
  <si>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</si>
  <si>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</si>
  <si>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</si>
  <si>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</si>
  <si>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</si>
  <si>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</si>
  <si>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</si>
  <si>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</si>
  <si>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</si>
  <si>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</si>
  <si>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</si>
  <si>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</si>
  <si>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</si>
  <si>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</si>
  <si>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</si>
  <si>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</si>
  <si>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</si>
  <si>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</si>
  <si>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</si>
  <si>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</si>
  <si>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</si>
  <si>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</si>
  <si>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</si>
  <si>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</si>
  <si>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</si>
  <si>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</si>
  <si>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</si>
  <si>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</si>
  <si>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</si>
  <si>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</si>
  <si>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</si>
  <si>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</si>
  <si>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</si>
  <si>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</si>
  <si>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</si>
  <si>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</si>
  <si>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</si>
  <si>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</si>
  <si>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</si>
  <si>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</si>
  <si>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</si>
  <si>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</si>
  <si>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</si>
  <si>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</si>
  <si>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</si>
  <si>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</si>
  <si>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</si>
  <si>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</si>
  <si>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</si>
  <si>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</si>
  <si>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</si>
  <si>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</si>
  <si>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</si>
  <si>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</si>
  <si>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</si>
  <si>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</si>
  <si>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</si>
  <si>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</si>
  <si>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</si>
  <si>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</si>
  <si>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</si>
  <si>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</si>
  <si>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</si>
  <si>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</si>
  <si>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</si>
  <si>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</si>
  <si>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</si>
  <si>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Noklak</t>
  </si>
  <si>
    <t>Peren</t>
  </si>
  <si>
    <t>Phek</t>
  </si>
  <si>
    <t>Tuensang</t>
  </si>
  <si>
    <t>Wokha</t>
  </si>
  <si>
    <t>Zunheboto</t>
  </si>
  <si>
    <t>Angul</t>
  </si>
  <si>
    <t>Balangir</t>
  </si>
  <si>
    <t>Balasore</t>
  </si>
  <si>
    <t>Bargarh</t>
  </si>
  <si>
    <t>Bhadrak</t>
  </si>
  <si>
    <t>Boudh</t>
  </si>
  <si>
    <t>Cuttack</t>
  </si>
  <si>
    <t>Debagarh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</si>
  <si>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</si>
  <si>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</si>
  <si>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</si>
  <si>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</si>
  <si>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</si>
  <si>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</si>
  <si>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</si>
  <si>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</si>
  <si>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</si>
  <si>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</si>
  <si>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</si>
  <si>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</si>
  <si>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</si>
  <si>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</si>
  <si>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</si>
  <si>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</si>
  <si>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</si>
  <si>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</si>
  <si>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</si>
  <si>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</si>
  <si>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</si>
  <si>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Sundergarh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</si>
  <si>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</si>
  <si>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</si>
  <si>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</si>
  <si>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</si>
  <si>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</si>
  <si>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</si>
  <si>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</si>
  <si>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</si>
  <si>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</si>
  <si>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</si>
  <si>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</si>
  <si>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</si>
  <si>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</si>
  <si>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</si>
  <si>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</si>
  <si>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</si>
  <si>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</si>
  <si>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Mohali</t>
  </si>
  <si>
    <t>Muktsar</t>
  </si>
  <si>
    <t>Pathankot</t>
  </si>
  <si>
    <t>Patiala</t>
  </si>
  <si>
    <t>Rupnagar</t>
  </si>
  <si>
    <t>Sangrur</t>
  </si>
  <si>
    <t>Shaheed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</si>
  <si>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</si>
  <si>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</si>
  <si>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</si>
  <si>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</si>
  <si>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</si>
  <si>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</si>
  <si>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</si>
  <si>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</si>
  <si>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</si>
  <si>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</si>
  <si>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</si>
  <si>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</si>
  <si>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</si>
  <si>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</si>
  <si>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</si>
  <si>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</si>
  <si>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</si>
  <si>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</si>
  <si>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</si>
  <si>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</si>
  <si>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</si>
  <si>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</si>
  <si>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</si>
  <si>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</si>
  <si>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</si>
  <si>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</si>
  <si>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</si>
  <si>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</si>
  <si>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</si>
  <si>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</si>
  <si>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</si>
  <si>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</si>
  <si>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</si>
  <si>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</si>
  <si>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East Sikkim</t>
  </si>
  <si>
    <t>North Sikkim</t>
  </si>
  <si>
    <t>South Sikkim</t>
  </si>
  <si>
    <t>West Sikkim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</si>
  <si>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</si>
  <si>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</si>
  <si>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</si>
  <si>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</si>
  <si>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</si>
  <si>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</si>
  <si>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</si>
  <si>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</si>
  <si>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</si>
  <si>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</si>
  <si>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</si>
  <si>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</si>
  <si>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</si>
  <si>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</si>
  <si>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</si>
  <si>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</si>
  <si>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</si>
  <si>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</si>
  <si>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</si>
  <si>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</si>
  <si>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</si>
  <si>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</si>
  <si>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Tenkasi</t>
  </si>
  <si>
    <t>Thanjavur</t>
  </si>
  <si>
    <t>Theni</t>
  </si>
  <si>
    <t>Thoothukudi</t>
  </si>
  <si>
    <t>Tiruchirappalli</t>
  </si>
  <si>
    <t>Tirunelveli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</si>
  <si>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</si>
  <si>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</si>
  <si>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</si>
  <si>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</si>
  <si>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</si>
  <si>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</si>
  <si>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</si>
  <si>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</si>
  <si>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</si>
  <si>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</si>
  <si>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</si>
  <si>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</si>
  <si>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</si>
  <si>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</si>
  <si>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</si>
  <si>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</si>
  <si>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</si>
  <si>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</si>
  <si>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</si>
  <si>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</si>
  <si>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</si>
  <si>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</si>
  <si>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</si>
  <si>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</si>
  <si>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</si>
  <si>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</si>
  <si>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</si>
  <si>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</si>
  <si>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</si>
  <si>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</si>
  <si>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</si>
  <si>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</si>
  <si>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</si>
  <si>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</si>
  <si>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</si>
  <si>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</si>
  <si>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</si>
  <si>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</si>
  <si>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</si>
  <si>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</si>
  <si>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</si>
  <si>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</si>
  <si>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</si>
  <si>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</si>
  <si>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</si>
  <si>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</si>
  <si>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</si>
  <si>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</si>
  <si>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</si>
  <si>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</si>
  <si>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</si>
  <si>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</si>
  <si>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</si>
  <si>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</si>
  <si>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</si>
  <si>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</si>
  <si>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</si>
  <si>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</si>
  <si>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</si>
  <si>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</si>
  <si>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</si>
  <si>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</si>
  <si>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</si>
  <si>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</si>
  <si>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</si>
  <si>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</si>
  <si>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</si>
  <si>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</si>
  <si>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</si>
  <si>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</si>
  <si>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</si>
  <si>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</si>
  <si>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</si>
  <si>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</si>
  <si>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</si>
  <si>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</si>
  <si>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</si>
  <si>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</si>
  <si>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</si>
  <si>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</si>
  <si>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</si>
  <si>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</si>
  <si>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</si>
  <si>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</si>
  <si>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</si>
  <si>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</si>
  <si>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</si>
  <si>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</si>
  <si>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</si>
  <si>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</si>
  <si>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</si>
  <si>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</si>
  <si>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</si>
  <si>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</si>
  <si>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</si>
  <si>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</si>
  <si>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</si>
  <si>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</si>
  <si>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</si>
  <si>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</si>
  <si>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</si>
  <si>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</si>
  <si>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</si>
  <si>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</si>
  <si>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</si>
  <si>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</si>
  <si>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Raebareli</t>
  </si>
  <si>
    <t>Rampur</t>
  </si>
  <si>
    <t>Saharanpur</t>
  </si>
  <si>
    <t>Sambhal</t>
  </si>
  <si>
    <t>Sant Kabir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</si>
  <si>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</si>
  <si>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</si>
  <si>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</si>
  <si>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</si>
  <si>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</si>
  <si>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</si>
  <si>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</si>
  <si>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</si>
  <si>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</si>
  <si>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</si>
  <si>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</si>
  <si>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</si>
  <si>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</si>
  <si>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</si>
  <si>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</si>
  <si>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</si>
  <si>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</t>
  </si>
  <si>
    <t>Pithoragarh</t>
  </si>
  <si>
    <t>Rudraprayag</t>
  </si>
  <si>
    <t>Tehri</t>
  </si>
  <si>
    <t>Udham Singh Nagar</t>
  </si>
  <si>
    <t>Uttarkashi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</si>
  <si>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</si>
  <si>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</si>
  <si>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</si>
  <si>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</si>
  <si>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</si>
  <si>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</si>
  <si>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</si>
  <si>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</si>
  <si>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</si>
  <si>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</si>
  <si>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</si>
  <si>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</si>
  <si>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</si>
  <si>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</si>
  <si>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</si>
  <si>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</si>
  <si>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</si>
  <si>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</si>
  <si>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</si>
  <si>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</si>
  <si>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</si>
  <si>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</si>
  <si>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</si>
  <si>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Warm-Humid</t>
  </si>
  <si>
    <t>Cold,Warm-Humid</t>
  </si>
  <si>
    <t>Cold</t>
  </si>
  <si>
    <t>Composite</t>
  </si>
  <si>
    <t>Composite , Warm-Humid</t>
  </si>
  <si>
    <t>Hot-Dry</t>
  </si>
  <si>
    <t>Warm-Humid , Composite</t>
  </si>
  <si>
    <t>Composite,Warm-humid</t>
  </si>
  <si>
    <t>Temperate</t>
  </si>
  <si>
    <t>Warm-Himid , Temperate</t>
  </si>
  <si>
    <t>Composite,Hot-Dry</t>
  </si>
  <si>
    <t>Hot-Dry , Composite</t>
  </si>
  <si>
    <t>Cold , Hot-Dry</t>
  </si>
  <si>
    <t>Cold , Warm-Humid</t>
  </si>
  <si>
    <t>Compisite</t>
  </si>
  <si>
    <t>Hot-Dry,Composite</t>
  </si>
  <si>
    <t>Composite,Warm-Humid</t>
  </si>
  <si>
    <t>Warm-Humid, Composite</t>
  </si>
  <si>
    <t>Cold,Composite</t>
  </si>
  <si>
    <t>7.1205</t>
  </si>
  <si>
    <t>INDIA</t>
  </si>
  <si>
    <t>DN</t>
  </si>
  <si>
    <t>DD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</si>
  <si>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</si>
  <si>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</si>
  <si>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</si>
  <si>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</si>
  <si>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</si>
  <si>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</si>
  <si>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</si>
  <si>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</si>
  <si>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</si>
  <si>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LK</t>
  </si>
  <si>
    <t>MP</t>
  </si>
  <si>
    <t>MH</t>
  </si>
  <si>
    <t>MN</t>
  </si>
  <si>
    <t>MG</t>
  </si>
  <si>
    <t>MZ</t>
  </si>
  <si>
    <t>NL</t>
  </si>
  <si>
    <t>OR</t>
  </si>
  <si>
    <t>PY</t>
  </si>
  <si>
    <t>PB</t>
  </si>
  <si>
    <t>RJ</t>
  </si>
  <si>
    <t>SK</t>
  </si>
  <si>
    <t>TN</t>
  </si>
  <si>
    <t>TG</t>
  </si>
  <si>
    <t>TR</t>
  </si>
  <si>
    <t>UP</t>
  </si>
  <si>
    <t>UT</t>
  </si>
  <si>
    <t>WB</t>
  </si>
  <si>
    <t>AN</t>
  </si>
  <si>
    <t>AP</t>
  </si>
  <si>
    <t>Weather File-zip</t>
  </si>
  <si>
    <t>IND_AN_Car.Nicobar.433670_TMYx.zip</t>
  </si>
  <si>
    <t>IND_AP_Anantapur.432370_TMYx.zip</t>
  </si>
  <si>
    <t>IND_WB_Krishnanagar.427110_TMYx.zip</t>
  </si>
  <si>
    <t>IND_AP_Kurnool.432130_TMYx.zip</t>
  </si>
  <si>
    <t>IND_AP_Nellore.432450_TMYx.zip</t>
  </si>
  <si>
    <t>IND_AS_Dhubri.424040_TMYx.zip</t>
  </si>
  <si>
    <t>IND_AS_Dibrugarh.AP.423140_TMYx.zip</t>
  </si>
  <si>
    <t>IND_AS_Goalpara.424070_TMYx.zip</t>
  </si>
  <si>
    <t>IND_AS_Golaghat.424200_TMYx.zip</t>
  </si>
  <si>
    <t>IND_AS_Jorhat.AP.424230_TMYx.zip</t>
  </si>
  <si>
    <t>IND_AS_Sivasagar.423110_TMYx.zip</t>
  </si>
  <si>
    <t>IND_MH_Aurangabad.AP.430140_TMYx.zip</t>
  </si>
  <si>
    <t>IND_BR_Bhagalpur.424980_TMYx.zip</t>
  </si>
  <si>
    <t>IND_BR_Darbhanga.423910_TMYx.zip</t>
  </si>
  <si>
    <t>IND_BR_Gaya.Intl.AP.425910_TMYx.zip</t>
  </si>
  <si>
    <t>IND_BR_Muzaffarpur.423870_TMYx.zip</t>
  </si>
  <si>
    <t>IND_BR_Patna-Jayaprakash.AP.424920_TMYx.zip</t>
  </si>
  <si>
    <t>IND_BR_Supaul.423930_TMYx.zip</t>
  </si>
  <si>
    <t>IND_PB_Chandigarh.427052_TMYx.zip</t>
  </si>
  <si>
    <t>IND_KA_Bijapur.431610_TMYx.zip</t>
  </si>
  <si>
    <t>IND_HP_Bilaspur.AP.427820_TMYx.zip</t>
  </si>
  <si>
    <t>IND_CT_Durg.428760_TMYx.zip</t>
  </si>
  <si>
    <t>IND_CT_Jashpur.Nagar.427900_TMYx.zip</t>
  </si>
  <si>
    <t>IND_CT_Raigarh.428840_TMYx.zip</t>
  </si>
  <si>
    <t>IND_CT_Raipur.AP.428750_TMYx.zip</t>
  </si>
  <si>
    <t>IND_CT_Rajnandgaon.429480_TMYx.zip</t>
  </si>
  <si>
    <t>IND_DD_Daman.429160_TMYx.zip</t>
  </si>
  <si>
    <t>IND_DD_Diu.AP.429140_TMYx.zip</t>
  </si>
  <si>
    <t>IND_DL_New.Delhi-Gandhi.Intl.AP.421810_TMYx.zip</t>
  </si>
  <si>
    <t>IND_GJ_Ahmedabad.Intl.AP.426470_TMYx.zip</t>
  </si>
  <si>
    <t>IND_GJ_Amreli.428340_TMYx.zip</t>
  </si>
  <si>
    <t>IND_GJ_Bhavnagar.428380_TMYx.zip</t>
  </si>
  <si>
    <t>IND_GJ_Gandhinagar.426540_TMYx.zip</t>
  </si>
  <si>
    <t>IND_GJ_Porbandar.428300_TMYx.zip</t>
  </si>
  <si>
    <t>IND_GJ_Rajkot.AP.427370_TMYx.zip</t>
  </si>
  <si>
    <t>IND_GJ_Surat.428400_TMYx.zip</t>
  </si>
  <si>
    <t>IND_GJ_Surendranagar.427400_TMYx.zip</t>
  </si>
  <si>
    <t>IND_HR_Ambala.421030_TMYx.zip</t>
  </si>
  <si>
    <t>IND_HR_Karnal.421370_TMYx.zip</t>
  </si>
  <si>
    <t>IND_HR_Rohtak.421760_TMYx.zip</t>
  </si>
  <si>
    <t>IND_UP_Hamirpur.424690_TMYx.zip</t>
  </si>
  <si>
    <t>IND_HP_Kullu.Manali.427051_TMYx.zip</t>
  </si>
  <si>
    <t>IND_HP_Mandi.420780_TMYx.zip</t>
  </si>
  <si>
    <t>IND_HP_Shimla.420830_TMYx.zip</t>
  </si>
  <si>
    <t>IND_HP_Una.420770_TMYx.zip</t>
  </si>
  <si>
    <t>IND_JK_Jammu.420560_TMYx.zip</t>
  </si>
  <si>
    <t>IND_OR_Sambalpur.428830_TMYx.zip</t>
  </si>
  <si>
    <t>IND_JK_Srinagar.AP.420420_TMYx.zip</t>
  </si>
  <si>
    <t>IND_JH_Dumka.425990_TMYx.zip</t>
  </si>
  <si>
    <t>IND_JH_Hazaribagh.426990_TMYx.zip</t>
  </si>
  <si>
    <t>IND_JH_Ranchi-Munda.Intl.AP.427010_TMYx.zip</t>
  </si>
  <si>
    <t>IND_KA_Bagalkote.431600_TMYx.zip</t>
  </si>
  <si>
    <t>IND_KA_Belgaum-Sambre.AP.431980_TMYx.zip</t>
  </si>
  <si>
    <t>IND_KA_Bellary.432050_TMYx.zip</t>
  </si>
  <si>
    <t>IND_KA_Bidar.431250_TMYx.zip</t>
  </si>
  <si>
    <t>IND_KA_Chitradurga.432330_TMYx.zip</t>
  </si>
  <si>
    <t>IND_KA_Dharwad.432000_TMYx.zip</t>
  </si>
  <si>
    <t>IND_KA_Gadag.432010_TMYx.zip</t>
  </si>
  <si>
    <t>IND_KA_Gulbarga.431210_TMYx.zip</t>
  </si>
  <si>
    <t>IND_KA_Hassan.432630_TMYx.zip</t>
  </si>
  <si>
    <t>IND_KA_Haveri.432270_TMYx.zip</t>
  </si>
  <si>
    <t>IND_KA_Kolar.Gold.Fields.432990_TMYx.zip</t>
  </si>
  <si>
    <t>IND_KA_Koppal.432280_TMYx.zip</t>
  </si>
  <si>
    <t>IND_KA_Mandya.432890_TMYx.zip</t>
  </si>
  <si>
    <t>IND_KA_Raichur.431690_TMYx.zip</t>
  </si>
  <si>
    <t>IND_KA_Shimoga.432580_TMYx.zip</t>
  </si>
  <si>
    <t>IND_KL_Kottayam.433550_TMYx.zip</t>
  </si>
  <si>
    <t>IND_KL_Kozhikode.433140_TMYx.zip</t>
  </si>
  <si>
    <t>IND_KL_Palakkad.433350_TMYx.zip</t>
  </si>
  <si>
    <t>IND_KL_Thiruvananthapuram.433710_TMYx.zip</t>
  </si>
  <si>
    <t>IND_KL_Thrissur.433570_TMYx.zip</t>
  </si>
  <si>
    <t>IND_JK_Leh.427053_TMYx.zip</t>
  </si>
  <si>
    <t>IND_MP_Betul.428600_TMYx.zip</t>
  </si>
  <si>
    <t>IND_MP_Bhopal-Bhoj.AP.426670_TMYx.zip</t>
  </si>
  <si>
    <t>IND_MP_Chhindwara.427680_TMYx.zip</t>
  </si>
  <si>
    <t>IND_MP_Damoh.426740_TMYx.zip</t>
  </si>
  <si>
    <t>IND_MP_Datia.424600_TMYx.zip</t>
  </si>
  <si>
    <t>IND_MP_Dhar.427520_TMYx.zip</t>
  </si>
  <si>
    <t>IND_MP_Guna.425590_TMYx.zip</t>
  </si>
  <si>
    <t>IND_MP_Gwalior.423610_TMYx.zip</t>
  </si>
  <si>
    <t>IND_MP_Hoshangabad.427630_TMYx.zip</t>
  </si>
  <si>
    <t>IND_MP_Indore-Holkar.Intl.AP.427540_TMYx.zip</t>
  </si>
  <si>
    <t>IND_MP_Jabalpur.426750_TMYx.zip</t>
  </si>
  <si>
    <t>IND_MP_Khandwa.428550_TMYx.zip</t>
  </si>
  <si>
    <t>IND_MP_Khargone.428490_TMYx.zip</t>
  </si>
  <si>
    <t>IND_MP_Mandla.427760_TMYx.zip</t>
  </si>
  <si>
    <t>IND_MP_Narsinghpur.427700_TMYx.zip</t>
  </si>
  <si>
    <t>IND_MP_Neemuch.425470_TMYx.zip</t>
  </si>
  <si>
    <t>IND_MP_Panna.425700_TMYx.zip</t>
  </si>
  <si>
    <t>IND_MP_Raisen.426720_TMYx.zip</t>
  </si>
  <si>
    <t>IND_MP_Rajgarh.425570_TMYx.zip</t>
  </si>
  <si>
    <t>IND_MP_Ratlam.426610_TMYx.zip</t>
  </si>
  <si>
    <t>IND_MP_Rewa.425740_TMYx.zip</t>
  </si>
  <si>
    <t>IND_MP_Sagar.426710_TMYx.zip</t>
  </si>
  <si>
    <t>IND_MP_Satna.425710_TMYx.zip</t>
  </si>
  <si>
    <t>IND_MP_Seoni.427710_TMYx.zip</t>
  </si>
  <si>
    <t>IND_MP_Shajapur.426650_TMYx.zip</t>
  </si>
  <si>
    <t>IND_MP_Sheopur.424560_TMYx.zip</t>
  </si>
  <si>
    <t>IND_MP_Shivpuri.424590_TMYx.zip</t>
  </si>
  <si>
    <t>IND_MP_Sidhi.425770_TMYx.zip</t>
  </si>
  <si>
    <t>IND_MP_Tikamgarh.425620_TMYx.zip</t>
  </si>
  <si>
    <t>IND_MP_Ujjain.426620_TMYx.zip</t>
  </si>
  <si>
    <t>IND_MP_Umaria.426790_TMYx.zip</t>
  </si>
  <si>
    <t>IND_MH_Akola.AP.429340_TMYx.zip</t>
  </si>
  <si>
    <t>IND_MH_Chandrapur.430290_TMYx.zip</t>
  </si>
  <si>
    <t>IND_MH_Gondia.428710_TMYx.zip</t>
  </si>
  <si>
    <t>IND_MH_Jalgaon.428510_TMYx.zip</t>
  </si>
  <si>
    <t>IND_MH_Jalna.430120_TMYx.zip</t>
  </si>
  <si>
    <t>IND_MH_Kolhapur.AP.431570_TMYx.zip</t>
  </si>
  <si>
    <t>IND_MH_Nagpur-Ambedkar.Intl.AP.428670_TMYx.zip</t>
  </si>
  <si>
    <t>IND_MH_Nanded.430210_TMYx.zip</t>
  </si>
  <si>
    <t>IND_MH_Nandurbar.428460_TMYx.zip</t>
  </si>
  <si>
    <t>IND_MH_Nashik.Ozar.429200_TMYx.zip</t>
  </si>
  <si>
    <t>IND_MH_Parbhani.430170_TMYx.zip</t>
  </si>
  <si>
    <t>IND_MH_Pune.430630_TMYx.zip</t>
  </si>
  <si>
    <t>IND_MH_Ratnagiri.431100_TMYx.zip</t>
  </si>
  <si>
    <t>IND_MH_Sangli.431580_TMYx.zip</t>
  </si>
  <si>
    <t>IND_MH_Satara.431130_TMYx.zip</t>
  </si>
  <si>
    <t>IND_MH_Solapur.431170_TMYx.zip</t>
  </si>
  <si>
    <t>IND_MH_Wardha.429390_TMYx.zip</t>
  </si>
  <si>
    <t>IND_MH_Washim.429350_TMYx.zip</t>
  </si>
  <si>
    <t>IND_NL_Kohima.425270_TMYx.zip</t>
  </si>
  <si>
    <t>IND_WB_Diamond.Harbour.428110_TMYx.zip</t>
  </si>
  <si>
    <t>IND_OR_Angul.429690_TMYx.zip</t>
  </si>
  <si>
    <t>IND_OR_Balasore.428950_TMYx.zip</t>
  </si>
  <si>
    <t>IND_OR_Cuttack.429700_TMYx.zip</t>
  </si>
  <si>
    <t>IND_OR_Jharsuguda.AP.428860_TMYx.zip</t>
  </si>
  <si>
    <t>IND_OR_Koraput.430970_TMYx.zip</t>
  </si>
  <si>
    <t>IND_OR_Puri.430530_TMYx.zip</t>
  </si>
  <si>
    <t>IND_PY_Karaikal.433460_TMYx.zip</t>
  </si>
  <si>
    <t>IND_PY_Puducherry.AP.433310_TMYx.zip</t>
  </si>
  <si>
    <t>IND_PB_Amritsar.420710_TMYx.zip</t>
  </si>
  <si>
    <t>IND_PB_Ludhiana.420990_TMYx.zip</t>
  </si>
  <si>
    <t>IND_PB_Patiala.421010_TMYx.zip</t>
  </si>
  <si>
    <t>IND_PB_Sangrur.421350_TMYx.zip</t>
  </si>
  <si>
    <t>IND_RJ_Ajmer.423430_TMYx.zip</t>
  </si>
  <si>
    <t>IND_RJ_Alwar.422550_TMYx.zip</t>
  </si>
  <si>
    <t>IND_RJ_Barmer.424350_TMYx.zip</t>
  </si>
  <si>
    <t>IND_RJ_Bhilwara.424470_TMYx.zip</t>
  </si>
  <si>
    <t>IND_RJ_Bikaner.421650_TMYx.zip</t>
  </si>
  <si>
    <t>IND_RJ_Bundi.424500_TMYx.zip</t>
  </si>
  <si>
    <t>IND_RJ_Chittorgarh.425460_TMYx.zip</t>
  </si>
  <si>
    <t>IND_RJ_Churu.421700_TMYx.zip</t>
  </si>
  <si>
    <t>IND_RJ_Dholpur.423540_TMYx.zip</t>
  </si>
  <si>
    <t>IND_RJ_Jaipur.Intl.AP.423480_TMYx.zip</t>
  </si>
  <si>
    <t>IND_RJ_Jaisalmer.423280_TMYx.zip</t>
  </si>
  <si>
    <t>IND_RJ_Jhalawar.425550_TMYx.zip</t>
  </si>
  <si>
    <t>IND_RJ_Jodhpur.423390_TMYx.zip</t>
  </si>
  <si>
    <t>IND_UP_Aligarh.422620_TMYx.zip</t>
  </si>
  <si>
    <t>IND_RJ_Sawai.Madhopur.424530_TMYx.zip</t>
  </si>
  <si>
    <t>IND_RJ_Sikar.422490_TMYx.zip</t>
  </si>
  <si>
    <t>IND_RJ_Tonk.423490_TMYx.zip</t>
  </si>
  <si>
    <t>IND_RJ_Udaipur-Pratap.AP.425420_TMYx.zip</t>
  </si>
  <si>
    <t>IND_TN_Ariyalur.433240_TMYx.zip</t>
  </si>
  <si>
    <t>IND_TN_Chennai.Intl.AP.432790_TMYx.zip</t>
  </si>
  <si>
    <t>IND_TN_Coimbatore.Intl.AP.433210_TMYx.zip</t>
  </si>
  <si>
    <t>IND_TN_Cuddalore.433290_TMYx.zip</t>
  </si>
  <si>
    <t>IND_TN_Dharmapuri.433010_TMYx.zip</t>
  </si>
  <si>
    <t>IND_TN_Karur.Paramathy.433420_TMYx.zip</t>
  </si>
  <si>
    <t>IND_TN_Madurai.433590_TMYx.zip</t>
  </si>
  <si>
    <t>IND_TN_Salem.433250_TMYx.zip</t>
  </si>
  <si>
    <t>IND_TN_Thanjavur.433300_TMYx.zip</t>
  </si>
  <si>
    <t>IND_TN_Tiruchirappalli.Intl.AP.433440_TMYx.zip</t>
  </si>
  <si>
    <t>IND_TN_Vellore.433030_TMYx.zip</t>
  </si>
  <si>
    <t>IND_TG_Adilabad.430250_TMYx.zip</t>
  </si>
  <si>
    <t>IND_TG_Hyderabad-Gandhi.Intl.AP.431285_TMYx.zip</t>
  </si>
  <si>
    <t>IND_TG_Khammam.431370_TMYx.zip</t>
  </si>
  <si>
    <t>IND_TG_Medak.430830_TMYx.zip</t>
  </si>
  <si>
    <t>IND_TG_Nalgonda.431330_TMYx.zip</t>
  </si>
  <si>
    <t>IND_TG_Nizamabad.430810_TMYx.zip</t>
  </si>
  <si>
    <t>IND_UP_Agra.AP.422600_TMYx.zip</t>
  </si>
  <si>
    <t>IND_UP_Bahraich.422730_TMYx.zip</t>
  </si>
  <si>
    <t>IND_UP_Ballia.424840_TMYx.zip</t>
  </si>
  <si>
    <t>IND_UP_Banda.424730_TMYx.zip</t>
  </si>
  <si>
    <t>IND_UP_Bareilly.AP.421890_TMYx.zip</t>
  </si>
  <si>
    <t>IND_UP_Basti.422790_TMYx.zip</t>
  </si>
  <si>
    <t>IND_UP_Bulandshahr.421830_TMYx.zip</t>
  </si>
  <si>
    <t>IND_UP_Etawah.423640_TMYx.zip</t>
  </si>
  <si>
    <t>IND_UP_Fatehpur.424710_TMYx.zip</t>
  </si>
  <si>
    <t>IND_UP_Ghazipur.424820_TMYx.zip</t>
  </si>
  <si>
    <t>IND_UP_Gonda.422740_TMYx.zip</t>
  </si>
  <si>
    <t>IND_UP_Gorakhpur.423790_TMYx.zip</t>
  </si>
  <si>
    <t>IND_UP_Hardoi.422710_TMYx.zip</t>
  </si>
  <si>
    <t>IND_UP_Jhansi.424630_TMYx.zip</t>
  </si>
  <si>
    <t>IND_UP_Kheri.422700_TMYx.zip</t>
  </si>
  <si>
    <t>IND_UP_Lucknow-Amausi-Singh.Intl.AP.423690_TMYx.zip</t>
  </si>
  <si>
    <t>IND_UP_Mainpuri.422650_TMYx.zip</t>
  </si>
  <si>
    <t>IND_UP_Meerut.421390_TMYx.zip</t>
  </si>
  <si>
    <t>IND_UP_Moradabad.421870_TMYx.zip</t>
  </si>
  <si>
    <t>IND_UP_Shahjahanpur.422660_TMYx.zip</t>
  </si>
  <si>
    <t>IND_UP_Sultanpur.423750_TMYx.zip</t>
  </si>
  <si>
    <t>IND_UP_Varanasi-Shastri.Intl.AP.424790_TMYx.zip</t>
  </si>
  <si>
    <t>IND_UT_Chamoli.421170_TMYx.zip</t>
  </si>
  <si>
    <t>IND_UT_Dehradun.421110_TMYx.zip</t>
  </si>
  <si>
    <t>IND_UT_Tehri.421140_TMYx.zip</t>
  </si>
  <si>
    <t>IND_WB_Bankura.427060_TMYx.zip</t>
  </si>
  <si>
    <t>IND_WB_Cooch.Behar.424030_TMYx.zip</t>
  </si>
  <si>
    <t>IND_WB_Darjeeling.422950_TMYx.zip</t>
  </si>
  <si>
    <t>IND_WB_Jalpaiguri.423990_TMYx.zip</t>
  </si>
  <si>
    <t>IND_WB_Kalimpong.422960_TMYx.zip</t>
  </si>
  <si>
    <t>IND_WB_Kolkata-Bose.Intl.AP.428090_TMYx.zip</t>
  </si>
  <si>
    <t>IND_WB_Malda.425030_TMYx.zip</t>
  </si>
  <si>
    <t>IND_WB_Purulia.427050_TMYx.zip</t>
  </si>
  <si>
    <t>AS</t>
  </si>
  <si>
    <t>BR</t>
  </si>
  <si>
    <t>CT</t>
  </si>
  <si>
    <t>NA</t>
  </si>
  <si>
    <t>Status</t>
  </si>
  <si>
    <t>PB --- CH</t>
  </si>
  <si>
    <t>NV</t>
  </si>
  <si>
    <t>Region</t>
  </si>
  <si>
    <t>Updated</t>
  </si>
  <si>
    <t>Found</t>
  </si>
  <si>
    <t>Validating</t>
  </si>
  <si>
    <t>Climate Zone-org</t>
  </si>
  <si>
    <t>Warm-Humid , Temperate</t>
  </si>
  <si>
    <t>https://climate.onebuilding.org/WMO_Region_2_Asia/IND_India/AN_Andaman_and_Nicobar_Islands/IND_AN_Car.Nicobar.433670_TMYx.zip</t>
  </si>
  <si>
    <t>https://climate.onebuilding.org/WMO_Region_2_Asia/IND_India/AP_Andhra_Pradesh/IND_AP_Anantapur.432370_TMYx.zip</t>
  </si>
  <si>
    <t>https://climate.onebuilding.org/WMO_Region_2_Asia/IND_India/AP_Andhra_Pradesh/IND_AP_Kurnool.432130_TMYx.zip</t>
  </si>
  <si>
    <t>https://climate.onebuilding.org/WMO_Region_2_Asia/IND_India/AP_Andhra_Pradesh/IND_AP_Nellore.432450_TMYx.zip</t>
  </si>
  <si>
    <t>https://climate.onebuilding.org/WMO_Region_2_Asia/IND_India/AS_Assam/IND_AS_Dhubri.424040_TMYx.zip</t>
  </si>
  <si>
    <t>https://climate.onebuilding.org/WMO_Region_2_Asia/IND_India/AS_Assam/IND_AS_Dibrugarh.AP.423140_TMYx.zip</t>
  </si>
  <si>
    <t>https://climate.onebuilding.org/WMO_Region_2_Asia/IND_India/AS_Assam/IND_AS_Goalpara.424070_TMYx.zip</t>
  </si>
  <si>
    <t>https://climate.onebuilding.org/WMO_Region_2_Asia/IND_India/AS_Assam/IND_AS_Golaghat.424200_TMYx.zip</t>
  </si>
  <si>
    <t>https://climate.onebuilding.org/WMO_Region_2_Asia/IND_India/AS_Assam/IND_AS_Jorhat.AP.424230_TMYx.zip</t>
  </si>
  <si>
    <t>https://climate.onebuilding.org/WMO_Region_2_Asia/IND_India/AS_Assam/IND_AS_Sivasagar.423110_TMYx.zip</t>
  </si>
  <si>
    <t>https://climate.onebuilding.org/WMO_Region_2_Asia/IND_India/MH_Maharashtra/IND_MH_Aurangabad.AP.430140_TMYx.zip</t>
  </si>
  <si>
    <t>https://climate.onebuilding.org/WMO_Region_2_Asia/IND_India/BR_Bihar/IND_BR_Bhagalpur.424980_TMYx.zip</t>
  </si>
  <si>
    <t>https://climate.onebuilding.org/WMO_Region_2_Asia/IND_India/BR_Bihar/IND_BR_Darbhanga.423910_TMYx.zip</t>
  </si>
  <si>
    <t>https://climate.onebuilding.org/WMO_Region_2_Asia/IND_India/BR_Bihar/IND_BR_Gaya.Intl.AP.425910_TMYx.zip</t>
  </si>
  <si>
    <t>https://climate.onebuilding.org/WMO_Region_2_Asia/IND_India/BR_Bihar/IND_BR_Muzaffarpur.423870_TMYx.zip</t>
  </si>
  <si>
    <t>https://climate.onebuilding.org/WMO_Region_2_Asia/IND_India/BR_Bihar/IND_BR_Patna-Jayaprakash.AP.424920_TMYx.zip</t>
  </si>
  <si>
    <t>https://climate.onebuilding.org/WMO_Region_2_Asia/IND_India/BR_Bihar/IND_BR_Supaul.423930_TMYx.zip</t>
  </si>
  <si>
    <t>https://climate.onebuilding.org/WMO_Region_2_Asia/IND_India/PB_Punjab/IND_PB_Chandigarh.427052_TMYx.zip</t>
  </si>
  <si>
    <t>https://climate.onebuilding.org/WMO_Region_2_Asia/IND_India/KA_Karnataka/IND_KA_Bijapur.431610_TMYx.zip</t>
  </si>
  <si>
    <t>https://climate.onebuilding.org/WMO_Region_2_Asia/IND_India/HP_Himachal_Pradesh/IND_HP_Bilaspur.AP.427820_TMYx.zip</t>
  </si>
  <si>
    <t>https://climate.onebuilding.org/WMO_Region_2_Asia/IND_India/CT_Chhattisgarh/IND_CT_Durg.428760_TMYx.zip</t>
  </si>
  <si>
    <t>https://climate.onebuilding.org/WMO_Region_2_Asia/IND_India/CT_Chhattisgarh/IND_CT_Jashpur.Nagar.427900_TMYx.zip</t>
  </si>
  <si>
    <t>https://climate.onebuilding.org/WMO_Region_2_Asia/IND_India/CT_Chhattisgarh/IND_CT_Raigarh.428840_TMYx.zip</t>
  </si>
  <si>
    <t>https://climate.onebuilding.org/WMO_Region_2_Asia/IND_India/CT_Chhattisgarh/IND_CT_Raipur.AP.428750_TMYx.zip</t>
  </si>
  <si>
    <t>https://climate.onebuilding.org/WMO_Region_2_Asia/IND_India/CT_Chhattisgarh/IND_CT_Rajnandgaon.429480_TMYx.zip</t>
  </si>
  <si>
    <t>https://climate.onebuilding.org/WMO_Region_2_Asia/IND_India/DD_Daman_and_Diu/IND_DD_Daman.429160_TMYx.zip</t>
  </si>
  <si>
    <t>https://climate.onebuilding.org/WMO_Region_2_Asia/IND_India/DD_Daman_and_Diu/IND_DD_Diu.AP.429140_TMYx.zip</t>
  </si>
  <si>
    <t>https://climate.onebuilding.org/WMO_Region_2_Asia/IND_India/DL_Delhi/IND_DL_New.Delhi-Gandhi.Intl.AP.421810_TMYx.zip</t>
  </si>
  <si>
    <t>https://climate.onebuilding.org/WMO_Region_2_Asia/IND_India/GJ_Gujarat/IND_GJ_Ahmedabad.Intl.AP.426470_TMYx.zip</t>
  </si>
  <si>
    <t>https://climate.onebuilding.org/WMO_Region_2_Asia/IND_India/GJ_Gujarat/IND_GJ_Amreli.428340_TMYx.zip</t>
  </si>
  <si>
    <t>https://climate.onebuilding.org/WMO_Region_2_Asia/IND_India/GJ_Gujarat/IND_GJ_Bhavnagar.428380_TMYx.zip</t>
  </si>
  <si>
    <t>https://climate.onebuilding.org/WMO_Region_2_Asia/IND_India/GJ_Gujarat/IND_GJ_Gandhinagar.426540_TMYx.zip</t>
  </si>
  <si>
    <t>https://climate.onebuilding.org/WMO_Region_2_Asia/IND_India/GJ_Gujarat/IND_GJ_Porbandar.428300_TMYx.zip</t>
  </si>
  <si>
    <t>https://climate.onebuilding.org/WMO_Region_2_Asia/IND_India/GJ_Gujarat/IND_GJ_Rajkot.AP.427370_TMYx.zip</t>
  </si>
  <si>
    <t>https://climate.onebuilding.org/WMO_Region_2_Asia/IND_India/GJ_Gujarat/IND_GJ_Surat.428400_TMYx.zip</t>
  </si>
  <si>
    <t>https://climate.onebuilding.org/WMO_Region_2_Asia/IND_India/GJ_Gujarat/IND_GJ_Surendranagar.427400_TMYx.zip</t>
  </si>
  <si>
    <t>https://climate.onebuilding.org/WMO_Region_2_Asia/IND_India/HR_Haryana/IND_HR_Ambala.421030_TMYx.zip</t>
  </si>
  <si>
    <t>https://climate.onebuilding.org/WMO_Region_2_Asia/IND_India/HR_Haryana/IND_HR_Karnal.421370_TMYx.zip</t>
  </si>
  <si>
    <t>https://climate.onebuilding.org/WMO_Region_2_Asia/IND_India/HR_Haryana/IND_HR_Rohtak.421760_TMYx.zip</t>
  </si>
  <si>
    <t>https://climate.onebuilding.org/WMO_Region_2_Asia/IND_India/UP_Uttar_Pradesh/IND_UP_Hamirpur.424690_TMYx.zip</t>
  </si>
  <si>
    <t>https://climate.onebuilding.org/WMO_Region_2_Asia/IND_India/HP_Himachal_Pradesh/IND_HP_Kullu.Manali.427051_TMYx.zip</t>
  </si>
  <si>
    <t>https://climate.onebuilding.org/WMO_Region_2_Asia/IND_India/HP_Himachal_Pradesh/IND_HP_Mandi.420780_TMYx.zip</t>
  </si>
  <si>
    <t>https://climate.onebuilding.org/WMO_Region_2_Asia/IND_India/HP_Himachal_Pradesh/IND_HP_Shimla.420830_TMYx.zip</t>
  </si>
  <si>
    <t>https://climate.onebuilding.org/WMO_Region_2_Asia/IND_India/HP_Himachal_Pradesh/IND_HP_Una.420770_TMYx.zip</t>
  </si>
  <si>
    <t>https://climate.onebuilding.org/WMO_Region_2_Asia/IND_India/JK_Jammu_and_Kashmir/IND_JK_Jammu.420560_TMYx.zip</t>
  </si>
  <si>
    <t>https://climate.onebuilding.org/WMO_Region_2_Asia/IND_India/OR_Odisha/IND_OR_Sambalpur.428830_TMYx.zip</t>
  </si>
  <si>
    <t>https://climate.onebuilding.org/WMO_Region_2_Asia/IND_India/JK_Jammu_and_Kashmir/IND_JK_Srinagar.AP.420420_TMYx.zip</t>
  </si>
  <si>
    <t>https://climate.onebuilding.org/WMO_Region_2_Asia/IND_India/JH_Jharkhand/IND_JH_Dumka.425990_TMYx.zip</t>
  </si>
  <si>
    <t>https://climate.onebuilding.org/WMO_Region_2_Asia/IND_India/JH_Jharkhand/IND_JH_Hazaribagh.426990_TMYx.zip</t>
  </si>
  <si>
    <t>https://climate.onebuilding.org/WMO_Region_2_Asia/IND_India/JH_Jharkhand/IND_JH_Ranchi-Munda.Intl.AP.427010_TMYx.zip</t>
  </si>
  <si>
    <t>https://climate.onebuilding.org/WMO_Region_2_Asia/IND_India/KA_Karnataka/IND_KA_Bagalkote.431600_TMYx.zip</t>
  </si>
  <si>
    <t>https://climate.onebuilding.org/WMO_Region_2_Asia/IND_India/KA_Karnataka/IND_KA_Belgaum-Sambre.AP.431980_TMYx.zip</t>
  </si>
  <si>
    <t>https://climate.onebuilding.org/WMO_Region_2_Asia/IND_India/KA_Karnataka/IND_KA_Bellary.432050_TMYx.zip</t>
  </si>
  <si>
    <t>https://climate.onebuilding.org/WMO_Region_2_Asia/IND_India/KA_Karnataka/IND_KA_Bidar.431250_TMYx.zip</t>
  </si>
  <si>
    <t>https://climate.onebuilding.org/WMO_Region_2_Asia/IND_India/KA_Karnataka/IND_KA_Chitradurga.432330_TMYx.zip</t>
  </si>
  <si>
    <t>https://climate.onebuilding.org/WMO_Region_2_Asia/IND_India/KA_Karnataka/IND_KA_Dharwad.432000_TMYx.zip</t>
  </si>
  <si>
    <t>https://climate.onebuilding.org/WMO_Region_2_Asia/IND_India/KA_Karnataka/IND_KA_Gadag.432010_TMYx.zip</t>
  </si>
  <si>
    <t>https://climate.onebuilding.org/WMO_Region_2_Asia/IND_India/KA_Karnataka/IND_KA_Gulbarga.431210_TMYx.zip</t>
  </si>
  <si>
    <t>https://climate.onebuilding.org/WMO_Region_2_Asia/IND_India/KA_Karnataka/IND_KA_Hassan.432630_TMYx.zip</t>
  </si>
  <si>
    <t>https://climate.onebuilding.org/WMO_Region_2_Asia/IND_India/KA_Karnataka/IND_KA_Haveri.432270_TMYx.zip</t>
  </si>
  <si>
    <t>https://climate.onebuilding.org/WMO_Region_2_Asia/IND_India/KA_Karnataka/IND_KA_Kolar.Gold.Fields.432990_TMYx.zip</t>
  </si>
  <si>
    <t>https://climate.onebuilding.org/WMO_Region_2_Asia/IND_India/KA_Karnataka/IND_KA_Koppal.432280_TMYx.zip</t>
  </si>
  <si>
    <t>https://climate.onebuilding.org/WMO_Region_2_Asia/IND_India/KA_Karnataka/IND_KA_Mandya.432890_TMYx.zip</t>
  </si>
  <si>
    <t>https://climate.onebuilding.org/WMO_Region_2_Asia/IND_India/KA_Karnataka/IND_KA_Raichur.431690_TMYx.zip</t>
  </si>
  <si>
    <t>https://climate.onebuilding.org/WMO_Region_2_Asia/IND_India/KA_Karnataka/IND_KA_Shimoga.432580_TMYx.zip</t>
  </si>
  <si>
    <t>https://climate.onebuilding.org/WMO_Region_2_Asia/IND_India/KL_Kerala/IND_KL_Kottayam.433550_TMYx.zip</t>
  </si>
  <si>
    <t>https://climate.onebuilding.org/WMO_Region_2_Asia/IND_India/KL_Kerala/IND_KL_Kozhikode.433140_TMYx.zip</t>
  </si>
  <si>
    <t>https://climate.onebuilding.org/WMO_Region_2_Asia/IND_India/KL_Kerala/IND_KL_Palakkad.433350_TMYx.zip</t>
  </si>
  <si>
    <t>https://climate.onebuilding.org/WMO_Region_2_Asia/IND_India/KL_Kerala/IND_KL_Thiruvananthapuram.433710_TMYx.zip</t>
  </si>
  <si>
    <t>https://climate.onebuilding.org/WMO_Region_2_Asia/IND_India/KL_Kerala/IND_KL_Thrissur.433570_TMYx.zip</t>
  </si>
  <si>
    <t>https://climate.onebuilding.org/WMO_Region_2_Asia/IND_India/JK_Jammu_and_Kashmir/IND_JK_Leh.427053_TMYx.zip</t>
  </si>
  <si>
    <t>https://climate.onebuilding.org/WMO_Region_2_Asia/IND_India/MP_Madhya_Pradesh/IND_MP_Betul.428600_TMYx.zip</t>
  </si>
  <si>
    <t>https://climate.onebuilding.org/WMO_Region_2_Asia/IND_India/MP_Madhya_Pradesh/IND_MP_Bhopal-Bhoj.AP.426670_TMYx.zip</t>
  </si>
  <si>
    <t>https://climate.onebuilding.org/WMO_Region_2_Asia/IND_India/MP_Madhya_Pradesh/IND_MP_Chhindwara.427680_TMYx.zip</t>
  </si>
  <si>
    <t>https://climate.onebuilding.org/WMO_Region_2_Asia/IND_India/MP_Madhya_Pradesh/IND_MP_Damoh.426740_TMYx.zip</t>
  </si>
  <si>
    <t>https://climate.onebuilding.org/WMO_Region_2_Asia/IND_India/MP_Madhya_Pradesh/IND_MP_Datia.424600_TMYx.zip</t>
  </si>
  <si>
    <t>https://climate.onebuilding.org/WMO_Region_2_Asia/IND_India/MP_Madhya_Pradesh/IND_MP_Dhar.427520_TMYx.zip</t>
  </si>
  <si>
    <t>https://climate.onebuilding.org/WMO_Region_2_Asia/IND_India/MP_Madhya_Pradesh/IND_MP_Guna.425590_TMYx.zip</t>
  </si>
  <si>
    <t>https://climate.onebuilding.org/WMO_Region_2_Asia/IND_India/MP_Madhya_Pradesh/IND_MP_Gwalior.423610_TMYx.zip</t>
  </si>
  <si>
    <t>https://climate.onebuilding.org/WMO_Region_2_Asia/IND_India/MP_Madhya_Pradesh/IND_MP_Hoshangabad.427630_TMYx.zip</t>
  </si>
  <si>
    <t>https://climate.onebuilding.org/WMO_Region_2_Asia/IND_India/MP_Madhya_Pradesh/IND_MP_Indore-Holkar.Intl.AP.427540_TMYx.zip</t>
  </si>
  <si>
    <t>https://climate.onebuilding.org/WMO_Region_2_Asia/IND_India/MP_Madhya_Pradesh/IND_MP_Jabalpur.426750_TMYx.zip</t>
  </si>
  <si>
    <t>https://climate.onebuilding.org/WMO_Region_2_Asia/IND_India/MP_Madhya_Pradesh/IND_MP_Khandwa.428550_TMYx.zip</t>
  </si>
  <si>
    <t>https://climate.onebuilding.org/WMO_Region_2_Asia/IND_India/MP_Madhya_Pradesh/IND_MP_Khargone.428490_TMYx.zip</t>
  </si>
  <si>
    <t>https://climate.onebuilding.org/WMO_Region_2_Asia/IND_India/MP_Madhya_Pradesh/IND_MP_Mandla.427760_TMYx.zip</t>
  </si>
  <si>
    <t>https://climate.onebuilding.org/WMO_Region_2_Asia/IND_India/MP_Madhya_Pradesh/IND_MP_Narsinghpur.427700_TMYx.zip</t>
  </si>
  <si>
    <t>https://climate.onebuilding.org/WMO_Region_2_Asia/IND_India/MP_Madhya_Pradesh/IND_MP_Neemuch.425470_TMYx.zip</t>
  </si>
  <si>
    <t>https://climate.onebuilding.org/WMO_Region_2_Asia/IND_India/MP_Madhya_Pradesh/IND_MP_Panna.425700_TMYx.zip</t>
  </si>
  <si>
    <t>https://climate.onebuilding.org/WMO_Region_2_Asia/IND_India/MP_Madhya_Pradesh/IND_MP_Raisen.426720_TMYx.zip</t>
  </si>
  <si>
    <t>https://climate.onebuilding.org/WMO_Region_2_Asia/IND_India/MP_Madhya_Pradesh/IND_MP_Rajgarh.425570_TMYx.zip</t>
  </si>
  <si>
    <t>https://climate.onebuilding.org/WMO_Region_2_Asia/IND_India/MP_Madhya_Pradesh/IND_MP_Ratlam.426610_TMYx.zip</t>
  </si>
  <si>
    <t>https://climate.onebuilding.org/WMO_Region_2_Asia/IND_India/MP_Madhya_Pradesh/IND_MP_Rewa.425740_TMYx.zip</t>
  </si>
  <si>
    <t>https://climate.onebuilding.org/WMO_Region_2_Asia/IND_India/MP_Madhya_Pradesh/IND_MP_Sagar.426710_TMYx.zip</t>
  </si>
  <si>
    <t>https://climate.onebuilding.org/WMO_Region_2_Asia/IND_India/MP_Madhya_Pradesh/IND_MP_Satna.425710_TMYx.zip</t>
  </si>
  <si>
    <t>https://climate.onebuilding.org/WMO_Region_2_Asia/IND_India/MP_Madhya_Pradesh/IND_MP_Seoni.427710_TMYx.zip</t>
  </si>
  <si>
    <t>https://climate.onebuilding.org/WMO_Region_2_Asia/IND_India/MP_Madhya_Pradesh/IND_MP_Shajapur.426650_TMYx.zip</t>
  </si>
  <si>
    <t>https://climate.onebuilding.org/WMO_Region_2_Asia/IND_India/MP_Madhya_Pradesh/IND_MP_Sheopur.424560_TMYx.zip</t>
  </si>
  <si>
    <t>https://climate.onebuilding.org/WMO_Region_2_Asia/IND_India/MP_Madhya_Pradesh/IND_MP_Shivpuri.424590_TMYx.zip</t>
  </si>
  <si>
    <t>https://climate.onebuilding.org/WMO_Region_2_Asia/IND_India/MP_Madhya_Pradesh/IND_MP_Sidhi.425770_TMYx.zip</t>
  </si>
  <si>
    <t>https://climate.onebuilding.org/WMO_Region_2_Asia/IND_India/MP_Madhya_Pradesh/IND_MP_Tikamgarh.425620_TMYx.zip</t>
  </si>
  <si>
    <t>https://climate.onebuilding.org/WMO_Region_2_Asia/IND_India/MP_Madhya_Pradesh/IND_MP_Ujjain.426620_TMYx.zip</t>
  </si>
  <si>
    <t>https://climate.onebuilding.org/WMO_Region_2_Asia/IND_India/MP_Madhya_Pradesh/IND_MP_Umaria.426790_TMYx.zip</t>
  </si>
  <si>
    <t>https://climate.onebuilding.org/WMO_Region_2_Asia/IND_India/MH_Maharashtra/IND_MH_Akola.AP.429340_TMYx.zip</t>
  </si>
  <si>
    <t>https://climate.onebuilding.org/WMO_Region_2_Asia/IND_India/MH_Maharashtra/IND_MH_Chandrapur.430290_TMYx.zip</t>
  </si>
  <si>
    <t>https://climate.onebuilding.org/WMO_Region_2_Asia/IND_India/MH_Maharashtra/IND_MH_Gondia.428710_TMYx.zip</t>
  </si>
  <si>
    <t>https://climate.onebuilding.org/WMO_Region_2_Asia/IND_India/MH_Maharashtra/IND_MH_Jalgaon.428510_TMYx.zip</t>
  </si>
  <si>
    <t>https://climate.onebuilding.org/WMO_Region_2_Asia/IND_India/MH_Maharashtra/IND_MH_Jalna.430120_TMYx.zip</t>
  </si>
  <si>
    <t>https://climate.onebuilding.org/WMO_Region_2_Asia/IND_India/MH_Maharashtra/IND_MH_Kolhapur.AP.431570_TMYx.zip</t>
  </si>
  <si>
    <t>https://climate.onebuilding.org/WMO_Region_2_Asia/IND_India/MH_Maharashtra/IND_MH_Nagpur-Ambedkar.Intl.AP.428670_TMYx.zip</t>
  </si>
  <si>
    <t>https://climate.onebuilding.org/WMO_Region_2_Asia/IND_India/MH_Maharashtra/IND_MH_Nanded.430210_TMYx.zip</t>
  </si>
  <si>
    <t>https://climate.onebuilding.org/WMO_Region_2_Asia/IND_India/MH_Maharashtra/IND_MH_Nandurbar.428460_TMYx.zip</t>
  </si>
  <si>
    <t>https://climate.onebuilding.org/WMO_Region_2_Asia/IND_India/MH_Maharashtra/IND_MH_Nashik.Ozar.429200_TMYx.zip</t>
  </si>
  <si>
    <t>https://climate.onebuilding.org/WMO_Region_2_Asia/IND_India/MH_Maharashtra/IND_MH_Parbhani.430170_TMYx.zip</t>
  </si>
  <si>
    <t>https://climate.onebuilding.org/WMO_Region_2_Asia/IND_India/MH_Maharashtra/IND_MH_Pune.430630_TMYx.zip</t>
  </si>
  <si>
    <t>https://climate.onebuilding.org/WMO_Region_2_Asia/IND_India/MH_Maharashtra/IND_MH_Ratnagiri.431100_TMYx.zip</t>
  </si>
  <si>
    <t>https://climate.onebuilding.org/WMO_Region_2_Asia/IND_India/MH_Maharashtra/IND_MH_Sangli.431580_TMYx.zip</t>
  </si>
  <si>
    <t>https://climate.onebuilding.org/WMO_Region_2_Asia/IND_India/MH_Maharashtra/IND_MH_Satara.431130_TMYx.zip</t>
  </si>
  <si>
    <t>https://climate.onebuilding.org/WMO_Region_2_Asia/IND_India/MH_Maharashtra/IND_MH_Solapur.431170_TMYx.zip</t>
  </si>
  <si>
    <t>https://climate.onebuilding.org/WMO_Region_2_Asia/IND_India/MH_Maharashtra/IND_MH_Wardha.429390_TMYx.zip</t>
  </si>
  <si>
    <t>https://climate.onebuilding.org/WMO_Region_2_Asia/IND_India/MH_Maharashtra/IND_MH_Washim.429350_TMYx.zip</t>
  </si>
  <si>
    <t>https://climate.onebuilding.org/WMO_Region_2_Asia/IND_India/NL_Nagaland/IND_NL_Kohima.425270_TMYx.zip</t>
  </si>
  <si>
    <t>https://climate.onebuilding.org/WMO_Region_2_Asia/IND_India/WB_West_Bengal/IND_WB_Diamond.Harbour.428110_TMYx.zip</t>
  </si>
  <si>
    <t>https://climate.onebuilding.org/WMO_Region_2_Asia/IND_India/OR_Odisha/IND_OR_Angul.429690_TMYx.zip</t>
  </si>
  <si>
    <t>https://climate.onebuilding.org/WMO_Region_2_Asia/IND_India/OR_Odisha/IND_OR_Balasore.428950_TMYx.zip</t>
  </si>
  <si>
    <t>https://climate.onebuilding.org/WMO_Region_2_Asia/IND_India/OR_Odisha/IND_OR_Cuttack.429700_TMYx.zip</t>
  </si>
  <si>
    <t>https://climate.onebuilding.org/WMO_Region_2_Asia/IND_India/OR_Odisha/IND_OR_Jharsuguda.AP.428860_TMYx.zip</t>
  </si>
  <si>
    <t>https://climate.onebuilding.org/WMO_Region_2_Asia/IND_India/OR_Odisha/IND_OR_Koraput.430970_TMYx.zip</t>
  </si>
  <si>
    <t>https://climate.onebuilding.org/WMO_Region_2_Asia/IND_India/OR_Odisha/IND_OR_Puri.430530_TMYx.zip</t>
  </si>
  <si>
    <t>https://climate.onebuilding.org/WMO_Region_2_Asia/IND_India/PY_Puducherry/IND_PY_Karaikal.433460_TMYx.zip</t>
  </si>
  <si>
    <t>https://climate.onebuilding.org/WMO_Region_2_Asia/IND_India/PY_Puducherry/IND_PY_Puducherry.AP.433310_TMYx.zip</t>
  </si>
  <si>
    <t>https://climate.onebuilding.org/WMO_Region_2_Asia/IND_India/PB_Punjab/IND_PB_Amritsar.420710_TMYx.zip</t>
  </si>
  <si>
    <t>https://climate.onebuilding.org/WMO_Region_2_Asia/IND_India/PB_Punjab/IND_PB_Ludhiana.420990_TMYx.zip</t>
  </si>
  <si>
    <t>https://climate.onebuilding.org/WMO_Region_2_Asia/IND_India/PB_Punjab/IND_PB_Patiala.421010_TMYx.zip</t>
  </si>
  <si>
    <t>https://climate.onebuilding.org/WMO_Region_2_Asia/IND_India/PB_Punjab/IND_PB_Sangrur.421350_TMYx.zip</t>
  </si>
  <si>
    <t>https://climate.onebuilding.org/WMO_Region_2_Asia/IND_India/RJ_Rajasthan/IND_RJ_Ajmer.423430_TMYx.zip</t>
  </si>
  <si>
    <t>https://climate.onebuilding.org/WMO_Region_2_Asia/IND_India/RJ_Rajasthan/IND_RJ_Alwar.422550_TMYx.zip</t>
  </si>
  <si>
    <t>https://climate.onebuilding.org/WMO_Region_2_Asia/IND_India/RJ_Rajasthan/IND_RJ_Barmer.424350_TMYx.zip</t>
  </si>
  <si>
    <t>https://climate.onebuilding.org/WMO_Region_2_Asia/IND_India/RJ_Rajasthan/IND_RJ_Bhilwara.424470_TMYx.zip</t>
  </si>
  <si>
    <t>https://climate.onebuilding.org/WMO_Region_2_Asia/IND_India/RJ_Rajasthan/IND_RJ_Bikaner.421650_TMYx.zip</t>
  </si>
  <si>
    <t>https://climate.onebuilding.org/WMO_Region_2_Asia/IND_India/RJ_Rajasthan/IND_RJ_Bundi.424500_TMYx.zip</t>
  </si>
  <si>
    <t>https://climate.onebuilding.org/WMO_Region_2_Asia/IND_India/RJ_Rajasthan/IND_RJ_Chittorgarh.425460_TMYx.zip</t>
  </si>
  <si>
    <t>https://climate.onebuilding.org/WMO_Region_2_Asia/IND_India/RJ_Rajasthan/IND_RJ_Churu.421700_TMYx.zip</t>
  </si>
  <si>
    <t>https://climate.onebuilding.org/WMO_Region_2_Asia/IND_India/RJ_Rajasthan/IND_RJ_Dholpur.423540_TMYx.zip</t>
  </si>
  <si>
    <t>https://climate.onebuilding.org/WMO_Region_2_Asia/IND_India/RJ_Rajasthan/IND_RJ_Jaipur.Intl.AP.423480_TMYx.zip</t>
  </si>
  <si>
    <t>https://climate.onebuilding.org/WMO_Region_2_Asia/IND_India/RJ_Rajasthan/IND_RJ_Jaisalmer.423280_TMYx.zip</t>
  </si>
  <si>
    <t>https://climate.onebuilding.org/WMO_Region_2_Asia/IND_India/RJ_Rajasthan/IND_RJ_Jhalawar.425550_TMYx.zip</t>
  </si>
  <si>
    <t>https://climate.onebuilding.org/WMO_Region_2_Asia/IND_India/RJ_Rajasthan/IND_RJ_Jodhpur.423390_TMYx.zip</t>
  </si>
  <si>
    <t>https://climate.onebuilding.org/WMO_Region_2_Asia/IND_India/UP_Uttar_Pradesh/IND_UP_Aligarh.422620_TMYx.zip</t>
  </si>
  <si>
    <t>https://climate.onebuilding.org/WMO_Region_2_Asia/IND_India/RJ_Rajasthan/IND_RJ_Sawai.Madhopur.424530_TMYx.zip</t>
  </si>
  <si>
    <t>https://climate.onebuilding.org/WMO_Region_2_Asia/IND_India/RJ_Rajasthan/IND_RJ_Sikar.422490_TMYx.zip</t>
  </si>
  <si>
    <t>https://climate.onebuilding.org/WMO_Region_2_Asia/IND_India/RJ_Rajasthan/IND_RJ_Tonk.423490_TMYx.zip</t>
  </si>
  <si>
    <t>https://climate.onebuilding.org/WMO_Region_2_Asia/IND_India/RJ_Rajasthan/IND_RJ_Udaipur-Pratap.AP.425420_TMYx.zip</t>
  </si>
  <si>
    <t>https://climate.onebuilding.org/WMO_Region_2_Asia/IND_India/TN_Tamil_Nadu/IND_TN_Ariyalur.433240_TMYx.zip</t>
  </si>
  <si>
    <t>https://climate.onebuilding.org/WMO_Region_2_Asia/IND_India/TN_Tamil_Nadu/IND_TN_Chennai.Intl.AP.432790_TMYx.zip</t>
  </si>
  <si>
    <t>https://climate.onebuilding.org/WMO_Region_2_Asia/IND_India/TN_Tamil_Nadu/IND_TN_Coimbatore.Intl.AP.433210_TMYx.zip</t>
  </si>
  <si>
    <t>https://climate.onebuilding.org/WMO_Region_2_Asia/IND_India/TN_Tamil_Nadu/IND_TN_Cuddalore.433290_TMYx.zip</t>
  </si>
  <si>
    <t>https://climate.onebuilding.org/WMO_Region_2_Asia/IND_India/TN_Tamil_Nadu/IND_TN_Dharmapuri.433010_TMYx.zip</t>
  </si>
  <si>
    <t>https://climate.onebuilding.org/WMO_Region_2_Asia/IND_India/TN_Tamil_Nadu/IND_TN_Karur.Paramathy.433420_TMYx.zip</t>
  </si>
  <si>
    <t>https://climate.onebuilding.org/WMO_Region_2_Asia/IND_India/TN_Tamil_Nadu/IND_TN_Madurai.433590_TMYx.zip</t>
  </si>
  <si>
    <t>https://climate.onebuilding.org/WMO_Region_2_Asia/IND_India/TN_Tamil_Nadu/IND_TN_Salem.433250_TMYx.zip</t>
  </si>
  <si>
    <t>https://climate.onebuilding.org/WMO_Region_2_Asia/IND_India/TN_Tamil_Nadu/IND_TN_Thanjavur.433300_TMYx.zip</t>
  </si>
  <si>
    <t>https://climate.onebuilding.org/WMO_Region_2_Asia/IND_India/TN_Tamil_Nadu/IND_TN_Tiruchirappalli.Intl.AP.433440_TMYx.zip</t>
  </si>
  <si>
    <t>https://climate.onebuilding.org/WMO_Region_2_Asia/IND_India/TN_Tamil_Nadu/IND_TN_Vellore.433030_TMYx.zip</t>
  </si>
  <si>
    <t>https://climate.onebuilding.org/WMO_Region_2_Asia/IND_India/TG_Telangana/IND_TG_Adilabad.430250_TMYx.zip</t>
  </si>
  <si>
    <t>https://climate.onebuilding.org/WMO_Region_2_Asia/IND_India/TG_Telangana/IND_TG_Hyderabad-Gandhi.Intl.AP.431285_TMYx.zip</t>
  </si>
  <si>
    <t>https://climate.onebuilding.org/WMO_Region_2_Asia/IND_India/TG_Telangana/IND_TG_Khammam.431370_TMYx.zip</t>
  </si>
  <si>
    <t>https://climate.onebuilding.org/WMO_Region_2_Asia/IND_India/TG_Telangana/IND_TG_Medak.430830_TMYx.zip</t>
  </si>
  <si>
    <t>https://climate.onebuilding.org/WMO_Region_2_Asia/IND_India/TG_Telangana/IND_TG_Nalgonda.431330_TMYx.zip</t>
  </si>
  <si>
    <t>https://climate.onebuilding.org/WMO_Region_2_Asia/IND_India/TG_Telangana/IND_TG_Nizamabad.430810_TMYx.zip</t>
  </si>
  <si>
    <t>https://climate.onebuilding.org/WMO_Region_2_Asia/IND_India/UP_Uttar_Pradesh/IND_UP_Agra.AP.422600_TMYx.zip</t>
  </si>
  <si>
    <t>https://climate.onebuilding.org/WMO_Region_2_Asia/IND_India/UP_Uttar_Pradesh/IND_UP_Bahraich.422730_TMYx.zip</t>
  </si>
  <si>
    <t>https://climate.onebuilding.org/WMO_Region_2_Asia/IND_India/UP_Uttar_Pradesh/IND_UP_Ballia.424840_TMYx.zip</t>
  </si>
  <si>
    <t>https://climate.onebuilding.org/WMO_Region_2_Asia/IND_India/UP_Uttar_Pradesh/IND_UP_Banda.424730_TMYx.zip</t>
  </si>
  <si>
    <t>https://climate.onebuilding.org/WMO_Region_2_Asia/IND_India/UP_Uttar_Pradesh/IND_UP_Bareilly.AP.421890_TMYx.zip</t>
  </si>
  <si>
    <t>https://climate.onebuilding.org/WMO_Region_2_Asia/IND_India/UP_Uttar_Pradesh/IND_UP_Basti.422790_TMYx.zip</t>
  </si>
  <si>
    <t>https://climate.onebuilding.org/WMO_Region_2_Asia/IND_India/UP_Uttar_Pradesh/IND_UP_Bulandshahr.421830_TMYx.zip</t>
  </si>
  <si>
    <t>https://climate.onebuilding.org/WMO_Region_2_Asia/IND_India/UP_Uttar_Pradesh/IND_UP_Etawah.423640_TMYx.zip</t>
  </si>
  <si>
    <t>https://climate.onebuilding.org/WMO_Region_2_Asia/IND_India/UP_Uttar_Pradesh/IND_UP_Fatehpur.424710_TMYx.zip</t>
  </si>
  <si>
    <t>https://climate.onebuilding.org/WMO_Region_2_Asia/IND_India/UP_Uttar_Pradesh/IND_UP_Ghazipur.424820_TMYx.zip</t>
  </si>
  <si>
    <t>https://climate.onebuilding.org/WMO_Region_2_Asia/IND_India/UP_Uttar_Pradesh/IND_UP_Gonda.422740_TMYx.zip</t>
  </si>
  <si>
    <t>https://climate.onebuilding.org/WMO_Region_2_Asia/IND_India/UP_Uttar_Pradesh/IND_UP_Gorakhpur.423790_TMYx.zip</t>
  </si>
  <si>
    <t>https://climate.onebuilding.org/WMO_Region_2_Asia/IND_India/UP_Uttar_Pradesh/IND_UP_Hardoi.422710_TMYx.zip</t>
  </si>
  <si>
    <t>https://climate.onebuilding.org/WMO_Region_2_Asia/IND_India/UP_Uttar_Pradesh/IND_UP_Jhansi.424630_TMYx.zip</t>
  </si>
  <si>
    <t>https://climate.onebuilding.org/WMO_Region_2_Asia/IND_India/UP_Uttar_Pradesh/IND_UP_Kheri.422700_TMYx.zip</t>
  </si>
  <si>
    <t>https://climate.onebuilding.org/WMO_Region_2_Asia/IND_India/UP_Uttar_Pradesh/IND_UP_Lucknow-Amausi-Singh.Intl.AP.423690_TMYx.zip</t>
  </si>
  <si>
    <t>https://climate.onebuilding.org/WMO_Region_2_Asia/IND_India/UP_Uttar_Pradesh/IND_UP_Mainpuri.422650_TMYx.zip</t>
  </si>
  <si>
    <t>https://climate.onebuilding.org/WMO_Region_2_Asia/IND_India/UP_Uttar_Pradesh/IND_UP_Meerut.421390_TMYx.zip</t>
  </si>
  <si>
    <t>https://climate.onebuilding.org/WMO_Region_2_Asia/IND_India/UP_Uttar_Pradesh/IND_UP_Moradabad.421870_TMYx.zip</t>
  </si>
  <si>
    <t>https://climate.onebuilding.org/WMO_Region_2_Asia/IND_India/UP_Uttar_Pradesh/IND_UP_Shahjahanpur.422660_TMYx.zip</t>
  </si>
  <si>
    <t>https://climate.onebuilding.org/WMO_Region_2_Asia/IND_India/UP_Uttar_Pradesh/IND_UP_Sultanpur.423750_TMYx.zip</t>
  </si>
  <si>
    <t>https://climate.onebuilding.org/WMO_Region_2_Asia/IND_India/UP_Uttar_Pradesh/IND_UP_Varanasi-Shastri.Intl.AP.424790_TMYx.zip</t>
  </si>
  <si>
    <t>https://climate.onebuilding.org/WMO_Region_2_Asia/IND_India/UT_Uttarakhand/IND_UT_Chamoli.421170_TMYx.zip</t>
  </si>
  <si>
    <t>https://climate.onebuilding.org/WMO_Region_2_Asia/IND_India/UT_Uttarakhand/IND_UT_Dehradun.421110_TMYx.zip</t>
  </si>
  <si>
    <t>https://climate.onebuilding.org/WMO_Region_2_Asia/IND_India/UT_Uttarakhand/IND_UT_Tehri.421140_TMYx.zip</t>
  </si>
  <si>
    <t>https://climate.onebuilding.org/WMO_Region_2_Asia/IND_India/WB_West_Bengal/IND_WB_Bankura.427060_TMYx.zip</t>
  </si>
  <si>
    <t>https://climate.onebuilding.org/WMO_Region_2_Asia/IND_India/WB_West_Bengal/IND_WB_Cooch.Behar.424030_TMYx.zip</t>
  </si>
  <si>
    <t>https://climate.onebuilding.org/WMO_Region_2_Asia/IND_India/WB_West_Bengal/IND_WB_Darjeeling.422950_TMYx.zip</t>
  </si>
  <si>
    <t>https://climate.onebuilding.org/WMO_Region_2_Asia/IND_India/WB_West_Bengal/IND_WB_Jalpaiguri.423990_TMYx.zip</t>
  </si>
  <si>
    <t>https://climate.onebuilding.org/WMO_Region_2_Asia/IND_India/WB_West_Bengal/IND_WB_Kalimpong.422960_TMYx.zip</t>
  </si>
  <si>
    <t>https://climate.onebuilding.org/WMO_Region_2_Asia/IND_India/WB_West_Bengal/IND_WB_Kolkata-Bose.Intl.AP.428090_TMYx.zip</t>
  </si>
  <si>
    <t>https://climate.onebuilding.org/WMO_Region_2_Asia/IND_India/WB_West_Bengal/IND_WB_Malda.425030_TMYx.zip</t>
  </si>
  <si>
    <t>https://climate.onebuilding.org/WMO_Region_2_Asia/IND_India/WB_West_Bengal/IND_WB_Purulia.427050_TMYx.zip</t>
  </si>
  <si>
    <t>BIN File</t>
  </si>
  <si>
    <t>Original</t>
  </si>
  <si>
    <t>https://climate.onebuilding.org/WMO_Region_2_Asia/IND_India/MZ_Mizoram/IND_MZ_Lengpui.AP.427260_TMYx.zip</t>
  </si>
  <si>
    <t>https://climate.onebuilding.org/WMO_Region_2_Asia/IND_India/MZ_Mizoram/IND_MZ_Aijal.427270_TMYx.zip</t>
  </si>
  <si>
    <t>https://climate.onebuilding.org/WMO_Region_2_Asia/IND_India/DL_Delhi/IND_DL_New.Delhi-Safdarjung.AP.421820_TMYx.zip</t>
  </si>
  <si>
    <t>Sub-tropic</t>
  </si>
  <si>
    <t>25°C</t>
  </si>
  <si>
    <t>Jaiselmer</t>
  </si>
  <si>
    <t>Sub tropic</t>
  </si>
  <si>
    <t>Warm &amp; Humid</t>
  </si>
  <si>
    <t>Tropic</t>
  </si>
  <si>
    <t>27°C</t>
  </si>
  <si>
    <t>Mumbai</t>
  </si>
  <si>
    <t>Shillong</t>
  </si>
  <si>
    <t>23°C</t>
  </si>
  <si>
    <t>Bengaluru</t>
  </si>
  <si>
    <t>Sub -Tropic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</si>
</sst>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B464-FF04-4353-A8AE-0A433A2C5F28}">
  <dimension ref="A1:O730"/>
  <sheetViews>
    <sheetView tabSelected="1" topLeftCell="A144" zoomScale="94" workbookViewId="0">
      <selection activeCell="F158" sqref="F158"/>
    </sheetView>
  </sheetViews>
  <sheetFormatPr defaultColWidth="14.77734375" defaultRowHeight="14.4" x14ac:dyDescent="0.3"/>
  <cols>
    <col min="5" max="5" width="15" hidden="1" customWidth="1"/>
    <col min="6" max="6" width="22.21875" bestFit="1" customWidth="1"/>
    <col min="7" max="7" width="22.21875" customWidth="1"/>
    <col min="9" max="9" width="14.77734375" style="7"/>
    <col min="10" max="10" width="115" bestFit="1" customWidth="1"/>
    <col min="11" max="11" width="48.88671875" bestFit="1" customWidth="1"/>
  </cols>
  <sheetData>
    <row r="1" spans="1:15" x14ac:dyDescent="0.3">
      <c r="A1" s="1" t="s">
        <v>0</v>
      </c>
      <c r="B1" s="1" t="s">
        <v>6</v>
      </c>
      <c r="C1" s="1"/>
      <c r="D1" s="1" t="s">
        <v>1</v>
      </c>
      <c r="E1" s="1" t="s">
        <v>1031</v>
      </c>
      <c r="F1" s="1" t="s">
        <v>2</v>
      </c>
      <c r="G1" s="2" t="s">
        <v>1236</v>
      </c>
      <c r="H1" s="3" t="s">
        <v>3</v>
      </c>
      <c r="I1" s="3" t="s">
        <v>4</v>
      </c>
      <c r="J1" s="2" t="s">
        <v>5</v>
      </c>
      <c r="K1" s="4" t="s">
        <v>816</v>
      </c>
      <c r="L1" t="s">
        <v>1029</v>
      </c>
      <c r="M1" t="s">
        <v>1030</v>
      </c>
      <c r="N1" t="s">
        <v>1024</v>
      </c>
      <c r="O1" t="s">
        <v>1235</v>
      </c>
    </row>
    <row r="2" spans="1:15" x14ac:dyDescent="0.3">
      <c r="A2" t="s">
        <v>784</v>
      </c>
      <c r="B2" t="s">
        <v>7</v>
      </c>
      <c r="C2" t="str">
        <f>IF(B2="Andaman Nicobar","AN",0)</f>
        <v>AN</v>
      </c>
      <c r="D2" t="s">
        <v>44</v>
      </c>
      <c r="E2" t="s">
        <v>764</v>
      </c>
      <c r="F2" t="s">
        <v>764</v>
      </c>
      <c r="G2" t="s">
        <v>764</v>
      </c>
      <c r="H2" t="s">
        <v>783</v>
      </c>
      <c r="I2" s="7">
        <v>93.784199999999998</v>
      </c>
      <c r="J2" t="s">
        <v>1033</v>
      </c>
      <c r="K2" s="5" t="s">
        <v>817</v>
      </c>
      <c r="L2" t="s">
        <v>814</v>
      </c>
      <c r="M2">
        <f>IF(L2=C2,1,0)</f>
        <v>1</v>
      </c>
    </row>
    <row r="3" spans="1:15" x14ac:dyDescent="0.3">
      <c r="A3" t="s">
        <v>784</v>
      </c>
      <c r="B3" t="s">
        <v>7</v>
      </c>
      <c r="C3" t="str">
        <f t="shared" ref="C3:C4" si="0">IF(B3="Andaman Nicobar","AN",0)</f>
        <v>AN</v>
      </c>
      <c r="D3" t="s">
        <v>45</v>
      </c>
      <c r="E3" t="s">
        <v>764</v>
      </c>
      <c r="F3" t="s">
        <v>764</v>
      </c>
      <c r="G3" t="s">
        <v>764</v>
      </c>
      <c r="H3">
        <v>13.227714300000001</v>
      </c>
      <c r="I3" s="7">
        <v>92.9394925</v>
      </c>
      <c r="J3">
        <v>0</v>
      </c>
      <c r="K3" s="5"/>
    </row>
    <row r="4" spans="1:15" x14ac:dyDescent="0.3">
      <c r="A4" t="s">
        <v>784</v>
      </c>
      <c r="B4" t="s">
        <v>7</v>
      </c>
      <c r="C4" t="str">
        <f t="shared" si="0"/>
        <v>AN</v>
      </c>
      <c r="D4" t="s">
        <v>46</v>
      </c>
      <c r="E4" t="s">
        <v>764</v>
      </c>
      <c r="F4" t="s">
        <v>764</v>
      </c>
      <c r="G4" t="s">
        <v>764</v>
      </c>
      <c r="H4">
        <v>10.705690499999999</v>
      </c>
      <c r="I4" s="7">
        <v>92.487467899999999</v>
      </c>
      <c r="J4">
        <v>0</v>
      </c>
      <c r="K4" s="5"/>
    </row>
    <row r="5" spans="1:15" x14ac:dyDescent="0.3">
      <c r="A5" t="s">
        <v>784</v>
      </c>
      <c r="B5" t="s">
        <v>8</v>
      </c>
      <c r="C5" t="str">
        <f>IF(B5="Andhra Pradesh","AP",0)</f>
        <v>AP</v>
      </c>
      <c r="D5" t="s">
        <v>47</v>
      </c>
      <c r="E5" t="s">
        <v>764</v>
      </c>
      <c r="F5" t="s">
        <v>764</v>
      </c>
      <c r="G5" t="s">
        <v>764</v>
      </c>
      <c r="H5">
        <v>14.68</v>
      </c>
      <c r="I5">
        <v>77.650000000000006</v>
      </c>
      <c r="J5" t="s">
        <v>1034</v>
      </c>
      <c r="K5" s="5" t="s">
        <v>818</v>
      </c>
      <c r="L5" t="s">
        <v>815</v>
      </c>
      <c r="M5">
        <f>IF(L5=C5,1,0)</f>
        <v>1</v>
      </c>
    </row>
    <row r="6" spans="1:15" x14ac:dyDescent="0.3">
      <c r="A6" t="s">
        <v>784</v>
      </c>
      <c r="B6" t="s">
        <v>8</v>
      </c>
      <c r="C6" t="str">
        <f t="shared" ref="C6:C17" si="1">IF(B6="Andhra Pradesh","AP",0)</f>
        <v>AP</v>
      </c>
      <c r="D6" t="s">
        <v>48</v>
      </c>
      <c r="E6" t="s">
        <v>764</v>
      </c>
      <c r="F6" t="s">
        <v>764</v>
      </c>
      <c r="G6" t="s">
        <v>764</v>
      </c>
      <c r="H6">
        <v>13.22</v>
      </c>
      <c r="I6">
        <v>79.13</v>
      </c>
      <c r="J6">
        <v>0</v>
      </c>
      <c r="K6" s="5"/>
      <c r="N6" t="s">
        <v>1023</v>
      </c>
    </row>
    <row r="7" spans="1:15" x14ac:dyDescent="0.3">
      <c r="A7" t="s">
        <v>784</v>
      </c>
      <c r="B7" t="s">
        <v>8</v>
      </c>
      <c r="C7" t="str">
        <f t="shared" si="1"/>
        <v>AP</v>
      </c>
      <c r="D7" t="s">
        <v>49</v>
      </c>
      <c r="E7" t="s">
        <v>764</v>
      </c>
      <c r="F7" t="s">
        <v>764</v>
      </c>
      <c r="G7" t="s">
        <v>764</v>
      </c>
      <c r="H7">
        <v>17.27</v>
      </c>
      <c r="I7">
        <v>81.83</v>
      </c>
      <c r="J7">
        <v>0</v>
      </c>
      <c r="K7" s="5"/>
    </row>
    <row r="8" spans="1:15" x14ac:dyDescent="0.3">
      <c r="A8" t="s">
        <v>784</v>
      </c>
      <c r="B8" t="s">
        <v>8</v>
      </c>
      <c r="C8" t="str">
        <f t="shared" si="1"/>
        <v>AP</v>
      </c>
      <c r="D8" t="s">
        <v>50</v>
      </c>
      <c r="E8" t="s">
        <v>764</v>
      </c>
      <c r="F8" t="s">
        <v>764</v>
      </c>
      <c r="G8" t="s">
        <v>764</v>
      </c>
      <c r="H8">
        <v>16.3</v>
      </c>
      <c r="I8">
        <v>80.48</v>
      </c>
      <c r="J8">
        <v>0</v>
      </c>
      <c r="K8" s="5"/>
    </row>
    <row r="9" spans="1:15" x14ac:dyDescent="0.3">
      <c r="A9" t="s">
        <v>784</v>
      </c>
      <c r="B9" t="s">
        <v>8</v>
      </c>
      <c r="C9" t="str">
        <f t="shared" si="1"/>
        <v>AP</v>
      </c>
      <c r="D9" t="s">
        <v>51</v>
      </c>
      <c r="E9" t="s">
        <v>764</v>
      </c>
      <c r="F9" t="s">
        <v>764</v>
      </c>
      <c r="G9" t="s">
        <v>764</v>
      </c>
      <c r="H9">
        <v>14.47</v>
      </c>
      <c r="I9">
        <v>78.87</v>
      </c>
      <c r="J9">
        <v>0</v>
      </c>
      <c r="K9" s="5"/>
    </row>
    <row r="10" spans="1:15" x14ac:dyDescent="0.3">
      <c r="A10" t="s">
        <v>784</v>
      </c>
      <c r="B10" t="s">
        <v>8</v>
      </c>
      <c r="C10" t="str">
        <f t="shared" si="1"/>
        <v>AP</v>
      </c>
      <c r="D10" t="s">
        <v>52</v>
      </c>
      <c r="E10" t="s">
        <v>764</v>
      </c>
      <c r="F10" t="s">
        <v>764</v>
      </c>
      <c r="G10" t="s">
        <v>764</v>
      </c>
      <c r="H10">
        <v>16.212943800000001</v>
      </c>
      <c r="I10" s="7">
        <v>81.028308199999998</v>
      </c>
      <c r="J10">
        <v>0</v>
      </c>
      <c r="K10" s="5" t="s">
        <v>819</v>
      </c>
      <c r="L10" t="s">
        <v>813</v>
      </c>
      <c r="M10">
        <f>IF(L10=C10,1,0)</f>
        <v>0</v>
      </c>
      <c r="N10" t="s">
        <v>1023</v>
      </c>
    </row>
    <row r="11" spans="1:15" x14ac:dyDescent="0.3">
      <c r="A11" t="s">
        <v>784</v>
      </c>
      <c r="B11" t="s">
        <v>8</v>
      </c>
      <c r="C11" t="str">
        <f t="shared" si="1"/>
        <v>AP</v>
      </c>
      <c r="D11" t="s">
        <v>53</v>
      </c>
      <c r="E11" t="s">
        <v>764</v>
      </c>
      <c r="F11" t="s">
        <v>764</v>
      </c>
      <c r="G11" t="s">
        <v>764</v>
      </c>
      <c r="H11">
        <v>15.83</v>
      </c>
      <c r="I11">
        <v>81.17</v>
      </c>
      <c r="J11" t="s">
        <v>1035</v>
      </c>
      <c r="K11" s="5" t="s">
        <v>820</v>
      </c>
      <c r="L11" t="s">
        <v>815</v>
      </c>
      <c r="M11">
        <f>IF(L11=C11,1,0)</f>
        <v>1</v>
      </c>
    </row>
    <row r="12" spans="1:15" x14ac:dyDescent="0.3">
      <c r="A12" t="s">
        <v>784</v>
      </c>
      <c r="B12" t="s">
        <v>8</v>
      </c>
      <c r="C12" t="str">
        <f t="shared" si="1"/>
        <v>AP</v>
      </c>
      <c r="D12" t="s">
        <v>54</v>
      </c>
      <c r="E12" t="s">
        <v>764</v>
      </c>
      <c r="F12" t="s">
        <v>764</v>
      </c>
      <c r="G12" t="s">
        <v>764</v>
      </c>
      <c r="H12">
        <v>14.45</v>
      </c>
      <c r="I12">
        <v>80.03</v>
      </c>
      <c r="J12" t="s">
        <v>1036</v>
      </c>
      <c r="K12" s="5" t="s">
        <v>821</v>
      </c>
      <c r="L12" t="s">
        <v>815</v>
      </c>
      <c r="M12">
        <f>IF(L12=C12,1,0)</f>
        <v>1</v>
      </c>
    </row>
    <row r="13" spans="1:15" x14ac:dyDescent="0.3">
      <c r="A13" t="s">
        <v>784</v>
      </c>
      <c r="B13" t="s">
        <v>8</v>
      </c>
      <c r="C13" t="str">
        <f t="shared" si="1"/>
        <v>AP</v>
      </c>
      <c r="D13" t="s">
        <v>55</v>
      </c>
      <c r="E13" t="s">
        <v>764</v>
      </c>
      <c r="F13" t="s">
        <v>764</v>
      </c>
      <c r="G13" t="s">
        <v>764</v>
      </c>
      <c r="H13">
        <v>15.5</v>
      </c>
      <c r="I13">
        <v>78.47</v>
      </c>
      <c r="J13">
        <v>0</v>
      </c>
      <c r="K13" s="5"/>
    </row>
    <row r="14" spans="1:15" x14ac:dyDescent="0.3">
      <c r="A14" t="s">
        <v>784</v>
      </c>
      <c r="B14" t="s">
        <v>8</v>
      </c>
      <c r="C14" t="str">
        <f t="shared" si="1"/>
        <v>AP</v>
      </c>
      <c r="D14" t="s">
        <v>56</v>
      </c>
      <c r="E14" t="s">
        <v>764</v>
      </c>
      <c r="F14" t="s">
        <v>764</v>
      </c>
      <c r="G14" t="s">
        <v>764</v>
      </c>
      <c r="H14">
        <v>18.23</v>
      </c>
      <c r="I14">
        <v>83.97</v>
      </c>
      <c r="J14">
        <v>0</v>
      </c>
      <c r="K14" s="5"/>
    </row>
    <row r="15" spans="1:15" x14ac:dyDescent="0.3">
      <c r="A15" t="s">
        <v>784</v>
      </c>
      <c r="B15" t="s">
        <v>8</v>
      </c>
      <c r="C15" t="str">
        <f t="shared" si="1"/>
        <v>AP</v>
      </c>
      <c r="D15" t="s">
        <v>57</v>
      </c>
      <c r="E15" t="s">
        <v>764</v>
      </c>
      <c r="F15" t="s">
        <v>764</v>
      </c>
      <c r="G15" t="s">
        <v>764</v>
      </c>
      <c r="H15">
        <v>17.7</v>
      </c>
      <c r="I15">
        <v>83.25</v>
      </c>
      <c r="J15">
        <v>0</v>
      </c>
      <c r="K15" s="5"/>
    </row>
    <row r="16" spans="1:15" x14ac:dyDescent="0.3">
      <c r="A16" t="s">
        <v>784</v>
      </c>
      <c r="B16" t="s">
        <v>8</v>
      </c>
      <c r="C16" t="str">
        <f t="shared" si="1"/>
        <v>AP</v>
      </c>
      <c r="D16" t="s">
        <v>58</v>
      </c>
      <c r="E16" t="s">
        <v>764</v>
      </c>
      <c r="F16" t="s">
        <v>764</v>
      </c>
      <c r="G16" t="s">
        <v>764</v>
      </c>
      <c r="H16">
        <v>18.12</v>
      </c>
      <c r="I16">
        <v>83.45</v>
      </c>
      <c r="J16">
        <v>0</v>
      </c>
      <c r="K16" s="5"/>
    </row>
    <row r="17" spans="1:11" x14ac:dyDescent="0.3">
      <c r="A17" t="s">
        <v>784</v>
      </c>
      <c r="B17" t="s">
        <v>8</v>
      </c>
      <c r="C17" t="str">
        <f t="shared" si="1"/>
        <v>AP</v>
      </c>
      <c r="D17" t="s">
        <v>59</v>
      </c>
      <c r="E17" t="s">
        <v>764</v>
      </c>
      <c r="F17" t="s">
        <v>764</v>
      </c>
      <c r="G17" t="s">
        <v>764</v>
      </c>
      <c r="H17">
        <v>16.420000000000002</v>
      </c>
      <c r="I17">
        <v>82.3</v>
      </c>
      <c r="J17">
        <v>0</v>
      </c>
      <c r="K17" s="5"/>
    </row>
    <row r="18" spans="1:11" x14ac:dyDescent="0.3">
      <c r="A18" t="s">
        <v>784</v>
      </c>
      <c r="B18" t="s">
        <v>9</v>
      </c>
      <c r="C18" t="str">
        <f>IF(B18="Arunachal Pradesh","AR",0)</f>
        <v>AR</v>
      </c>
      <c r="D18" t="s">
        <v>60</v>
      </c>
      <c r="E18" t="s">
        <v>764</v>
      </c>
      <c r="F18" t="s">
        <v>764</v>
      </c>
      <c r="G18" t="s">
        <v>764</v>
      </c>
      <c r="H18">
        <v>28.07</v>
      </c>
      <c r="I18">
        <v>96.83</v>
      </c>
      <c r="J18">
        <v>0</v>
      </c>
      <c r="K18" s="5"/>
    </row>
    <row r="19" spans="1:11" x14ac:dyDescent="0.3">
      <c r="A19" t="s">
        <v>784</v>
      </c>
      <c r="B19" t="s">
        <v>9</v>
      </c>
      <c r="C19" t="str">
        <f t="shared" ref="C19:C42" si="2">IF(B19="Arunachal Pradesh","AR",0)</f>
        <v>AR</v>
      </c>
      <c r="D19" t="s">
        <v>61</v>
      </c>
      <c r="E19" t="s">
        <v>765</v>
      </c>
      <c r="F19" t="s">
        <v>766</v>
      </c>
      <c r="G19" t="s">
        <v>765</v>
      </c>
      <c r="J19">
        <v>0</v>
      </c>
      <c r="K19" s="5"/>
    </row>
    <row r="20" spans="1:11" x14ac:dyDescent="0.3">
      <c r="A20" t="s">
        <v>784</v>
      </c>
      <c r="B20" t="s">
        <v>9</v>
      </c>
      <c r="C20" t="str">
        <f t="shared" si="2"/>
        <v>AR</v>
      </c>
      <c r="D20" t="s">
        <v>62</v>
      </c>
      <c r="E20" t="s">
        <v>764</v>
      </c>
      <c r="F20" t="s">
        <v>764</v>
      </c>
      <c r="G20" t="s">
        <v>764</v>
      </c>
      <c r="H20">
        <v>16.2</v>
      </c>
      <c r="I20">
        <v>75.75</v>
      </c>
      <c r="J20">
        <v>0</v>
      </c>
      <c r="K20" s="5"/>
    </row>
    <row r="21" spans="1:11" x14ac:dyDescent="0.3">
      <c r="A21" t="s">
        <v>784</v>
      </c>
      <c r="B21" t="s">
        <v>9</v>
      </c>
      <c r="C21" t="str">
        <f t="shared" si="2"/>
        <v>AR</v>
      </c>
      <c r="D21" t="s">
        <v>63</v>
      </c>
      <c r="E21" t="s">
        <v>764</v>
      </c>
      <c r="F21" t="s">
        <v>764</v>
      </c>
      <c r="G21" t="s">
        <v>764</v>
      </c>
      <c r="H21">
        <v>28.7</v>
      </c>
      <c r="I21" s="7">
        <v>95.7</v>
      </c>
      <c r="J21">
        <v>0</v>
      </c>
      <c r="K21" s="5"/>
    </row>
    <row r="22" spans="1:11" x14ac:dyDescent="0.3">
      <c r="A22" t="s">
        <v>784</v>
      </c>
      <c r="B22" t="s">
        <v>9</v>
      </c>
      <c r="C22" t="str">
        <f t="shared" si="2"/>
        <v>AR</v>
      </c>
      <c r="D22" t="s">
        <v>64</v>
      </c>
      <c r="E22" t="s">
        <v>765</v>
      </c>
      <c r="F22" t="s">
        <v>766</v>
      </c>
      <c r="G22" t="s">
        <v>765</v>
      </c>
      <c r="H22">
        <v>27.98</v>
      </c>
      <c r="I22">
        <v>93.4</v>
      </c>
      <c r="J22">
        <v>0</v>
      </c>
      <c r="K22" s="5"/>
    </row>
    <row r="23" spans="1:11" x14ac:dyDescent="0.3">
      <c r="A23" t="s">
        <v>784</v>
      </c>
      <c r="B23" t="s">
        <v>9</v>
      </c>
      <c r="C23" t="str">
        <f t="shared" si="2"/>
        <v>AR</v>
      </c>
      <c r="D23" t="s">
        <v>65</v>
      </c>
      <c r="E23" t="s">
        <v>764</v>
      </c>
      <c r="F23" t="s">
        <v>764</v>
      </c>
      <c r="G23" t="s">
        <v>764</v>
      </c>
      <c r="H23">
        <v>28.074221900000001</v>
      </c>
      <c r="I23" s="7">
        <v>95.417814899999996</v>
      </c>
      <c r="J23">
        <v>0</v>
      </c>
      <c r="K23" s="5"/>
    </row>
    <row r="24" spans="1:11" x14ac:dyDescent="0.3">
      <c r="A24" t="s">
        <v>784</v>
      </c>
      <c r="B24" t="s">
        <v>9</v>
      </c>
      <c r="C24" t="str">
        <f t="shared" si="2"/>
        <v>AR</v>
      </c>
      <c r="D24" t="s">
        <v>66</v>
      </c>
      <c r="F24" t="s">
        <v>766</v>
      </c>
      <c r="G24" t="s">
        <v>766</v>
      </c>
      <c r="H24">
        <v>27.731232500000001</v>
      </c>
      <c r="I24" s="7">
        <v>94.096466300000003</v>
      </c>
      <c r="J24">
        <v>0</v>
      </c>
      <c r="K24" s="5"/>
    </row>
    <row r="25" spans="1:11" x14ac:dyDescent="0.3">
      <c r="A25" t="s">
        <v>784</v>
      </c>
      <c r="B25" t="s">
        <v>9</v>
      </c>
      <c r="C25" t="str">
        <f t="shared" si="2"/>
        <v>AR</v>
      </c>
      <c r="D25" t="s">
        <v>67</v>
      </c>
      <c r="E25" t="s">
        <v>766</v>
      </c>
      <c r="F25" t="s">
        <v>766</v>
      </c>
      <c r="G25" t="s">
        <v>766</v>
      </c>
      <c r="H25">
        <v>27.963541800000002</v>
      </c>
      <c r="I25" s="7">
        <v>93.766565400000005</v>
      </c>
      <c r="J25">
        <v>0</v>
      </c>
      <c r="K25" s="5"/>
    </row>
    <row r="26" spans="1:11" x14ac:dyDescent="0.3">
      <c r="A26" t="s">
        <v>784</v>
      </c>
      <c r="B26" t="s">
        <v>9</v>
      </c>
      <c r="C26" t="str">
        <f t="shared" si="2"/>
        <v>AR</v>
      </c>
      <c r="D26" t="s">
        <v>68</v>
      </c>
      <c r="E26" t="s">
        <v>766</v>
      </c>
      <c r="F26" t="s">
        <v>766</v>
      </c>
      <c r="G26" t="s">
        <v>766</v>
      </c>
      <c r="H26">
        <v>27.986367699999999</v>
      </c>
      <c r="I26" s="7">
        <v>93.157834699999995</v>
      </c>
      <c r="J26">
        <v>0</v>
      </c>
      <c r="K26" s="5"/>
    </row>
    <row r="27" spans="1:11" x14ac:dyDescent="0.3">
      <c r="A27" t="s">
        <v>784</v>
      </c>
      <c r="B27" t="s">
        <v>9</v>
      </c>
      <c r="C27" t="str">
        <f t="shared" si="2"/>
        <v>AR</v>
      </c>
      <c r="D27" t="s">
        <v>69</v>
      </c>
      <c r="F27" t="s">
        <v>766</v>
      </c>
      <c r="G27" t="s">
        <v>766</v>
      </c>
      <c r="H27">
        <v>27.921126600000001</v>
      </c>
      <c r="I27" s="7">
        <v>94.740936199999993</v>
      </c>
      <c r="J27">
        <v>0</v>
      </c>
      <c r="K27" s="5"/>
    </row>
    <row r="28" spans="1:11" x14ac:dyDescent="0.3">
      <c r="A28" t="s">
        <v>784</v>
      </c>
      <c r="B28" t="s">
        <v>9</v>
      </c>
      <c r="C28" t="str">
        <f t="shared" si="2"/>
        <v>AR</v>
      </c>
      <c r="D28" t="s">
        <v>70</v>
      </c>
      <c r="E28" t="s">
        <v>764</v>
      </c>
      <c r="F28" t="s">
        <v>764</v>
      </c>
      <c r="G28" t="s">
        <v>764</v>
      </c>
      <c r="H28">
        <v>28</v>
      </c>
      <c r="I28">
        <v>96.3</v>
      </c>
      <c r="J28">
        <v>0</v>
      </c>
      <c r="K28" s="5"/>
    </row>
    <row r="29" spans="1:11" x14ac:dyDescent="0.3">
      <c r="A29" t="s">
        <v>784</v>
      </c>
      <c r="B29" t="s">
        <v>9</v>
      </c>
      <c r="C29" t="str">
        <f t="shared" si="2"/>
        <v>AR</v>
      </c>
      <c r="D29" t="s">
        <v>71</v>
      </c>
      <c r="E29" t="s">
        <v>764</v>
      </c>
      <c r="F29" t="s">
        <v>764</v>
      </c>
      <c r="G29" t="s">
        <v>764</v>
      </c>
      <c r="H29">
        <v>26.879454599999999</v>
      </c>
      <c r="I29" s="7">
        <v>95.315565199999995</v>
      </c>
      <c r="J29">
        <v>0</v>
      </c>
      <c r="K29" s="5"/>
    </row>
    <row r="30" spans="1:11" x14ac:dyDescent="0.3">
      <c r="A30" t="s">
        <v>784</v>
      </c>
      <c r="B30" t="s">
        <v>9</v>
      </c>
      <c r="C30" t="str">
        <f t="shared" si="2"/>
        <v>AR</v>
      </c>
      <c r="D30" t="s">
        <v>72</v>
      </c>
      <c r="E30" t="s">
        <v>764</v>
      </c>
      <c r="F30" t="s">
        <v>764</v>
      </c>
      <c r="G30" t="s">
        <v>764</v>
      </c>
      <c r="H30">
        <v>28.7</v>
      </c>
      <c r="I30" s="7">
        <v>95.7</v>
      </c>
      <c r="J30">
        <v>0</v>
      </c>
      <c r="K30" s="5"/>
    </row>
    <row r="31" spans="1:11" x14ac:dyDescent="0.3">
      <c r="A31" t="s">
        <v>784</v>
      </c>
      <c r="B31" t="s">
        <v>9</v>
      </c>
      <c r="C31" t="str">
        <f t="shared" si="2"/>
        <v>AR</v>
      </c>
      <c r="D31" t="s">
        <v>73</v>
      </c>
      <c r="E31" t="s">
        <v>764</v>
      </c>
      <c r="F31" t="s">
        <v>764</v>
      </c>
      <c r="G31" t="s">
        <v>764</v>
      </c>
      <c r="H31">
        <v>27.800698300000001</v>
      </c>
      <c r="I31" s="7">
        <v>94.565023299999993</v>
      </c>
      <c r="J31">
        <v>0</v>
      </c>
      <c r="K31" s="5"/>
    </row>
    <row r="32" spans="1:11" x14ac:dyDescent="0.3">
      <c r="A32" t="s">
        <v>784</v>
      </c>
      <c r="B32" t="s">
        <v>9</v>
      </c>
      <c r="C32" t="str">
        <f t="shared" si="2"/>
        <v>AR</v>
      </c>
      <c r="D32" t="s">
        <v>74</v>
      </c>
      <c r="E32" t="s">
        <v>764</v>
      </c>
      <c r="F32" t="s">
        <v>764</v>
      </c>
      <c r="G32" t="s">
        <v>764</v>
      </c>
      <c r="H32">
        <v>27.8</v>
      </c>
      <c r="I32">
        <v>93.6</v>
      </c>
      <c r="J32">
        <v>0</v>
      </c>
      <c r="K32" s="5"/>
    </row>
    <row r="33" spans="1:11" x14ac:dyDescent="0.3">
      <c r="A33" t="s">
        <v>784</v>
      </c>
      <c r="B33" t="s">
        <v>9</v>
      </c>
      <c r="C33" t="str">
        <f t="shared" si="2"/>
        <v>AR</v>
      </c>
      <c r="D33" t="s">
        <v>75</v>
      </c>
      <c r="E33" t="s">
        <v>764</v>
      </c>
      <c r="F33" t="s">
        <v>764</v>
      </c>
      <c r="G33" t="s">
        <v>764</v>
      </c>
      <c r="H33">
        <v>27.714030600000001</v>
      </c>
      <c r="I33" s="7">
        <v>96.015970899999999</v>
      </c>
      <c r="J33">
        <v>0</v>
      </c>
      <c r="K33" s="5"/>
    </row>
    <row r="34" spans="1:11" x14ac:dyDescent="0.3">
      <c r="A34" t="s">
        <v>784</v>
      </c>
      <c r="B34" t="s">
        <v>9</v>
      </c>
      <c r="C34" t="str">
        <f t="shared" si="2"/>
        <v>AR</v>
      </c>
      <c r="D34" t="s">
        <v>76</v>
      </c>
      <c r="F34" t="s">
        <v>764</v>
      </c>
      <c r="G34" t="s">
        <v>764</v>
      </c>
      <c r="H34">
        <v>27.158285599999999</v>
      </c>
      <c r="I34" s="7">
        <v>93.156150199999999</v>
      </c>
      <c r="J34">
        <v>0</v>
      </c>
      <c r="K34" s="5"/>
    </row>
    <row r="35" spans="1:11" x14ac:dyDescent="0.3">
      <c r="A35" t="s">
        <v>784</v>
      </c>
      <c r="B35" t="s">
        <v>9</v>
      </c>
      <c r="C35" t="str">
        <f t="shared" si="2"/>
        <v>AR</v>
      </c>
      <c r="D35" t="s">
        <v>77</v>
      </c>
      <c r="E35" t="s">
        <v>764</v>
      </c>
      <c r="F35" t="s">
        <v>764</v>
      </c>
      <c r="G35" t="s">
        <v>764</v>
      </c>
      <c r="H35">
        <v>27.29</v>
      </c>
      <c r="I35">
        <v>93.6</v>
      </c>
      <c r="J35">
        <v>0</v>
      </c>
      <c r="K35" s="5"/>
    </row>
    <row r="36" spans="1:11" x14ac:dyDescent="0.3">
      <c r="A36" t="s">
        <v>784</v>
      </c>
      <c r="B36" t="s">
        <v>9</v>
      </c>
      <c r="C36" t="str">
        <f t="shared" si="2"/>
        <v>AR</v>
      </c>
      <c r="D36" t="s">
        <v>78</v>
      </c>
      <c r="F36" t="s">
        <v>766</v>
      </c>
      <c r="G36" t="s">
        <v>766</v>
      </c>
      <c r="H36">
        <v>28.685166299999999</v>
      </c>
      <c r="I36" s="7">
        <v>94.236782399999996</v>
      </c>
      <c r="J36">
        <v>0</v>
      </c>
      <c r="K36" s="5"/>
    </row>
    <row r="37" spans="1:11" x14ac:dyDescent="0.3">
      <c r="A37" t="s">
        <v>784</v>
      </c>
      <c r="B37" t="s">
        <v>9</v>
      </c>
      <c r="C37" t="str">
        <f t="shared" si="2"/>
        <v>AR</v>
      </c>
      <c r="D37" t="s">
        <v>79</v>
      </c>
      <c r="E37" t="s">
        <v>766</v>
      </c>
      <c r="F37" t="s">
        <v>766</v>
      </c>
      <c r="G37" t="s">
        <v>766</v>
      </c>
      <c r="H37">
        <v>27.587918599999998</v>
      </c>
      <c r="I37" s="7">
        <v>91.863732999999996</v>
      </c>
      <c r="J37">
        <v>0</v>
      </c>
      <c r="K37" s="5"/>
    </row>
    <row r="38" spans="1:11" x14ac:dyDescent="0.3">
      <c r="A38" t="s">
        <v>784</v>
      </c>
      <c r="B38" t="s">
        <v>9</v>
      </c>
      <c r="C38" t="str">
        <f t="shared" si="2"/>
        <v>AR</v>
      </c>
      <c r="D38" t="s">
        <v>80</v>
      </c>
      <c r="E38" t="s">
        <v>764</v>
      </c>
      <c r="F38" t="s">
        <v>764</v>
      </c>
      <c r="G38" t="s">
        <v>764</v>
      </c>
      <c r="H38">
        <v>27.67</v>
      </c>
      <c r="I38">
        <v>97.18</v>
      </c>
      <c r="J38">
        <v>0</v>
      </c>
      <c r="K38" s="5"/>
    </row>
    <row r="39" spans="1:11" x14ac:dyDescent="0.3">
      <c r="A39" t="s">
        <v>784</v>
      </c>
      <c r="B39" t="s">
        <v>9</v>
      </c>
      <c r="C39" t="str">
        <f t="shared" si="2"/>
        <v>AR</v>
      </c>
      <c r="D39" t="s">
        <v>81</v>
      </c>
      <c r="E39" t="s">
        <v>766</v>
      </c>
      <c r="F39" t="s">
        <v>766</v>
      </c>
      <c r="G39" t="s">
        <v>766</v>
      </c>
      <c r="H39">
        <v>28.731204600000002</v>
      </c>
      <c r="I39" s="7">
        <v>95.037731500000007</v>
      </c>
      <c r="J39">
        <v>0</v>
      </c>
      <c r="K39" s="5"/>
    </row>
    <row r="40" spans="1:11" x14ac:dyDescent="0.3">
      <c r="A40" t="s">
        <v>784</v>
      </c>
      <c r="B40" t="s">
        <v>9</v>
      </c>
      <c r="C40" t="str">
        <f t="shared" si="2"/>
        <v>AR</v>
      </c>
      <c r="D40" t="s">
        <v>82</v>
      </c>
      <c r="E40" t="s">
        <v>766</v>
      </c>
      <c r="F40" t="s">
        <v>766</v>
      </c>
      <c r="G40" t="s">
        <v>766</v>
      </c>
      <c r="H40">
        <v>28.93</v>
      </c>
      <c r="I40">
        <v>94.92</v>
      </c>
      <c r="J40">
        <v>0</v>
      </c>
      <c r="K40" s="5"/>
    </row>
    <row r="41" spans="1:11" x14ac:dyDescent="0.3">
      <c r="A41" t="s">
        <v>784</v>
      </c>
      <c r="B41" t="s">
        <v>9</v>
      </c>
      <c r="C41" t="str">
        <f t="shared" si="2"/>
        <v>AR</v>
      </c>
      <c r="D41" t="s">
        <v>83</v>
      </c>
      <c r="E41" t="s">
        <v>765</v>
      </c>
      <c r="F41" t="s">
        <v>766</v>
      </c>
      <c r="G41" t="s">
        <v>765</v>
      </c>
      <c r="H41">
        <v>28.02</v>
      </c>
      <c r="I41">
        <v>92.67</v>
      </c>
      <c r="J41">
        <v>0</v>
      </c>
      <c r="K41" s="5"/>
    </row>
    <row r="42" spans="1:11" x14ac:dyDescent="0.3">
      <c r="A42" t="s">
        <v>784</v>
      </c>
      <c r="B42" t="s">
        <v>9</v>
      </c>
      <c r="C42" t="str">
        <f t="shared" si="2"/>
        <v>AR</v>
      </c>
      <c r="D42" t="s">
        <v>84</v>
      </c>
      <c r="E42" t="s">
        <v>766</v>
      </c>
      <c r="F42" t="s">
        <v>766</v>
      </c>
      <c r="G42" t="s">
        <v>766</v>
      </c>
      <c r="H42">
        <v>28.1970922</v>
      </c>
      <c r="I42" s="7">
        <v>94.484070000000003</v>
      </c>
      <c r="J42">
        <v>0</v>
      </c>
      <c r="K42" s="5"/>
    </row>
    <row r="43" spans="1:11" x14ac:dyDescent="0.3">
      <c r="A43" t="s">
        <v>784</v>
      </c>
      <c r="B43" t="s">
        <v>10</v>
      </c>
      <c r="C43" t="str">
        <f>IF(B43="Assam","AS",0)</f>
        <v>AS</v>
      </c>
      <c r="D43" t="s">
        <v>85</v>
      </c>
      <c r="E43" t="s">
        <v>764</v>
      </c>
      <c r="F43" t="s">
        <v>764</v>
      </c>
      <c r="G43" t="s">
        <v>764</v>
      </c>
      <c r="H43">
        <v>26.6275689</v>
      </c>
      <c r="I43" s="7">
        <v>91.338855100000004</v>
      </c>
      <c r="J43">
        <v>0</v>
      </c>
      <c r="K43" s="5"/>
    </row>
    <row r="44" spans="1:11" x14ac:dyDescent="0.3">
      <c r="A44" t="s">
        <v>784</v>
      </c>
      <c r="B44" t="s">
        <v>10</v>
      </c>
      <c r="C44" t="str">
        <f t="shared" ref="C44:C75" si="3">IF(B44="Assam","AS",0)</f>
        <v>AS</v>
      </c>
      <c r="D44" t="s">
        <v>86</v>
      </c>
      <c r="E44" t="s">
        <v>764</v>
      </c>
      <c r="F44" t="s">
        <v>764</v>
      </c>
      <c r="G44" t="s">
        <v>764</v>
      </c>
      <c r="H44">
        <v>26.32</v>
      </c>
      <c r="I44">
        <v>91</v>
      </c>
      <c r="J44">
        <v>0</v>
      </c>
      <c r="K44" s="5"/>
    </row>
    <row r="45" spans="1:11" x14ac:dyDescent="0.3">
      <c r="A45" t="s">
        <v>784</v>
      </c>
      <c r="B45" t="s">
        <v>10</v>
      </c>
      <c r="C45" t="str">
        <f t="shared" si="3"/>
        <v>AS</v>
      </c>
      <c r="D45" t="s">
        <v>87</v>
      </c>
      <c r="E45" t="s">
        <v>764</v>
      </c>
      <c r="F45" t="s">
        <v>764</v>
      </c>
      <c r="G45" t="s">
        <v>764</v>
      </c>
      <c r="H45">
        <v>26.793859600000001</v>
      </c>
      <c r="I45" s="7">
        <v>93.359193599999998</v>
      </c>
      <c r="J45">
        <v>0</v>
      </c>
      <c r="K45" s="5"/>
    </row>
    <row r="46" spans="1:11" x14ac:dyDescent="0.3">
      <c r="A46" t="s">
        <v>784</v>
      </c>
      <c r="B46" t="s">
        <v>10</v>
      </c>
      <c r="C46" t="str">
        <f t="shared" si="3"/>
        <v>AS</v>
      </c>
      <c r="D46" t="s">
        <v>88</v>
      </c>
      <c r="E46" t="s">
        <v>764</v>
      </c>
      <c r="F46" t="s">
        <v>764</v>
      </c>
      <c r="G46" t="s">
        <v>764</v>
      </c>
      <c r="H46">
        <v>26.47</v>
      </c>
      <c r="I46">
        <v>90.57</v>
      </c>
      <c r="J46">
        <v>0</v>
      </c>
      <c r="K46" s="5"/>
    </row>
    <row r="47" spans="1:11" x14ac:dyDescent="0.3">
      <c r="A47" t="s">
        <v>784</v>
      </c>
      <c r="B47" t="s">
        <v>10</v>
      </c>
      <c r="C47" t="str">
        <f t="shared" si="3"/>
        <v>AS</v>
      </c>
      <c r="D47" t="s">
        <v>89</v>
      </c>
      <c r="E47" t="s">
        <v>764</v>
      </c>
      <c r="F47" t="s">
        <v>764</v>
      </c>
      <c r="G47" t="s">
        <v>764</v>
      </c>
      <c r="H47">
        <v>25.13</v>
      </c>
      <c r="I47">
        <v>93.25</v>
      </c>
      <c r="J47">
        <v>0</v>
      </c>
      <c r="K47" s="5"/>
    </row>
    <row r="48" spans="1:11" x14ac:dyDescent="0.3">
      <c r="A48" t="s">
        <v>784</v>
      </c>
      <c r="B48" t="s">
        <v>10</v>
      </c>
      <c r="C48" t="str">
        <f t="shared" si="3"/>
        <v>AS</v>
      </c>
      <c r="D48" t="s">
        <v>90</v>
      </c>
      <c r="E48" t="s">
        <v>764</v>
      </c>
      <c r="F48" t="s">
        <v>764</v>
      </c>
      <c r="G48" t="s">
        <v>764</v>
      </c>
      <c r="H48">
        <v>27.069716400000001</v>
      </c>
      <c r="I48" s="7">
        <v>95.064262999999997</v>
      </c>
      <c r="J48">
        <v>0</v>
      </c>
      <c r="K48" s="5"/>
    </row>
    <row r="49" spans="1:13" x14ac:dyDescent="0.3">
      <c r="A49" t="s">
        <v>784</v>
      </c>
      <c r="B49" t="s">
        <v>10</v>
      </c>
      <c r="C49" t="str">
        <f t="shared" si="3"/>
        <v>AS</v>
      </c>
      <c r="D49" t="s">
        <v>91</v>
      </c>
      <c r="E49" t="s">
        <v>764</v>
      </c>
      <c r="F49" t="s">
        <v>764</v>
      </c>
      <c r="G49" t="s">
        <v>764</v>
      </c>
      <c r="H49">
        <v>26.6464231</v>
      </c>
      <c r="I49" s="7">
        <v>90.624156999999997</v>
      </c>
      <c r="J49">
        <v>0</v>
      </c>
      <c r="K49" s="5"/>
    </row>
    <row r="50" spans="1:13" x14ac:dyDescent="0.3">
      <c r="A50" t="s">
        <v>784</v>
      </c>
      <c r="B50" t="s">
        <v>10</v>
      </c>
      <c r="C50" t="str">
        <f t="shared" si="3"/>
        <v>AS</v>
      </c>
      <c r="D50" t="s">
        <v>92</v>
      </c>
      <c r="E50" t="s">
        <v>766</v>
      </c>
      <c r="F50" t="s">
        <v>766</v>
      </c>
      <c r="G50" t="s">
        <v>766</v>
      </c>
      <c r="H50">
        <v>27.58</v>
      </c>
      <c r="I50">
        <v>92.37</v>
      </c>
      <c r="J50">
        <v>0</v>
      </c>
      <c r="K50" s="5"/>
    </row>
    <row r="51" spans="1:13" x14ac:dyDescent="0.3">
      <c r="A51" t="s">
        <v>784</v>
      </c>
      <c r="B51" t="s">
        <v>10</v>
      </c>
      <c r="C51" t="str">
        <f t="shared" si="3"/>
        <v>AS</v>
      </c>
      <c r="D51" t="s">
        <v>93</v>
      </c>
      <c r="E51" t="s">
        <v>764</v>
      </c>
      <c r="F51" t="s">
        <v>764</v>
      </c>
      <c r="G51" t="s">
        <v>764</v>
      </c>
      <c r="H51">
        <v>27.8</v>
      </c>
      <c r="I51">
        <v>94.97</v>
      </c>
      <c r="J51">
        <v>0</v>
      </c>
      <c r="K51" s="5"/>
    </row>
    <row r="52" spans="1:13" x14ac:dyDescent="0.3">
      <c r="A52" t="s">
        <v>784</v>
      </c>
      <c r="B52" t="s">
        <v>10</v>
      </c>
      <c r="C52" t="str">
        <f t="shared" si="3"/>
        <v>AS</v>
      </c>
      <c r="D52" t="s">
        <v>94</v>
      </c>
      <c r="E52" t="s">
        <v>764</v>
      </c>
      <c r="F52" t="s">
        <v>764</v>
      </c>
      <c r="G52" t="s">
        <v>764</v>
      </c>
      <c r="H52">
        <v>26.03</v>
      </c>
      <c r="I52">
        <v>89.97</v>
      </c>
      <c r="J52" t="s">
        <v>1037</v>
      </c>
      <c r="K52" s="5" t="s">
        <v>822</v>
      </c>
      <c r="L52" t="s">
        <v>1020</v>
      </c>
      <c r="M52">
        <f>IF(L52=C52,1,0)</f>
        <v>1</v>
      </c>
    </row>
    <row r="53" spans="1:13" x14ac:dyDescent="0.3">
      <c r="A53" t="s">
        <v>784</v>
      </c>
      <c r="B53" t="s">
        <v>10</v>
      </c>
      <c r="C53" t="str">
        <f t="shared" si="3"/>
        <v>AS</v>
      </c>
      <c r="D53" t="s">
        <v>95</v>
      </c>
      <c r="E53" t="s">
        <v>764</v>
      </c>
      <c r="F53" t="s">
        <v>764</v>
      </c>
      <c r="G53" t="s">
        <v>764</v>
      </c>
      <c r="H53">
        <v>27.48</v>
      </c>
      <c r="I53">
        <v>94.9</v>
      </c>
      <c r="J53" t="s">
        <v>1038</v>
      </c>
      <c r="K53" s="5" t="s">
        <v>823</v>
      </c>
      <c r="L53" t="s">
        <v>1020</v>
      </c>
      <c r="M53">
        <f>IF(L53=C53,1,0)</f>
        <v>1</v>
      </c>
    </row>
    <row r="54" spans="1:13" x14ac:dyDescent="0.3">
      <c r="A54" t="s">
        <v>784</v>
      </c>
      <c r="B54" t="s">
        <v>10</v>
      </c>
      <c r="C54" t="str">
        <f t="shared" si="3"/>
        <v>AS</v>
      </c>
      <c r="D54" t="s">
        <v>96</v>
      </c>
      <c r="E54" t="s">
        <v>764</v>
      </c>
      <c r="F54" t="s">
        <v>764</v>
      </c>
      <c r="G54" t="s">
        <v>764</v>
      </c>
      <c r="H54">
        <v>25.4003625</v>
      </c>
      <c r="I54" s="7">
        <v>93.075229199999995</v>
      </c>
      <c r="J54">
        <v>0</v>
      </c>
      <c r="K54" s="5"/>
    </row>
    <row r="55" spans="1:13" x14ac:dyDescent="0.3">
      <c r="A55" t="s">
        <v>784</v>
      </c>
      <c r="B55" t="s">
        <v>10</v>
      </c>
      <c r="C55" t="str">
        <f t="shared" si="3"/>
        <v>AS</v>
      </c>
      <c r="D55" t="s">
        <v>97</v>
      </c>
      <c r="E55" t="s">
        <v>764</v>
      </c>
      <c r="F55" t="s">
        <v>764</v>
      </c>
      <c r="G55" t="s">
        <v>764</v>
      </c>
      <c r="H55">
        <v>26.17</v>
      </c>
      <c r="I55">
        <v>90.62</v>
      </c>
      <c r="J55" t="s">
        <v>1039</v>
      </c>
      <c r="K55" s="5" t="s">
        <v>824</v>
      </c>
      <c r="L55" t="s">
        <v>1020</v>
      </c>
      <c r="M55">
        <f>IF(L55=C55,1,0)</f>
        <v>1</v>
      </c>
    </row>
    <row r="56" spans="1:13" x14ac:dyDescent="0.3">
      <c r="A56" t="s">
        <v>784</v>
      </c>
      <c r="B56" t="s">
        <v>10</v>
      </c>
      <c r="C56" t="str">
        <f t="shared" si="3"/>
        <v>AS</v>
      </c>
      <c r="D56" t="s">
        <v>98</v>
      </c>
      <c r="E56" t="s">
        <v>764</v>
      </c>
      <c r="F56" t="s">
        <v>764</v>
      </c>
      <c r="G56" t="s">
        <v>764</v>
      </c>
      <c r="H56">
        <v>26.52</v>
      </c>
      <c r="I56">
        <v>93.97</v>
      </c>
      <c r="J56" t="s">
        <v>1040</v>
      </c>
      <c r="K56" s="5" t="s">
        <v>825</v>
      </c>
      <c r="L56" t="s">
        <v>1020</v>
      </c>
      <c r="M56">
        <f>IF(L56=C56,1,0)</f>
        <v>1</v>
      </c>
    </row>
    <row r="57" spans="1:13" x14ac:dyDescent="0.3">
      <c r="A57" t="s">
        <v>784</v>
      </c>
      <c r="B57" t="s">
        <v>10</v>
      </c>
      <c r="C57" t="str">
        <f t="shared" si="3"/>
        <v>AS</v>
      </c>
      <c r="D57" t="s">
        <v>99</v>
      </c>
      <c r="E57" t="s">
        <v>764</v>
      </c>
      <c r="F57" t="s">
        <v>764</v>
      </c>
      <c r="G57" t="s">
        <v>764</v>
      </c>
      <c r="H57">
        <v>24.68</v>
      </c>
      <c r="I57">
        <v>92.57</v>
      </c>
      <c r="J57">
        <v>0</v>
      </c>
      <c r="K57" s="5"/>
    </row>
    <row r="58" spans="1:13" x14ac:dyDescent="0.3">
      <c r="A58" t="s">
        <v>784</v>
      </c>
      <c r="B58" t="s">
        <v>10</v>
      </c>
      <c r="C58" t="str">
        <f t="shared" si="3"/>
        <v>AS</v>
      </c>
      <c r="D58" t="s">
        <v>100</v>
      </c>
      <c r="E58" t="s">
        <v>764</v>
      </c>
      <c r="F58" t="s">
        <v>764</v>
      </c>
      <c r="G58" t="s">
        <v>764</v>
      </c>
      <c r="H58">
        <v>25.962940199999998</v>
      </c>
      <c r="I58" s="7">
        <v>92.981829000000005</v>
      </c>
      <c r="J58">
        <v>0</v>
      </c>
      <c r="K58" s="5"/>
    </row>
    <row r="59" spans="1:13" x14ac:dyDescent="0.3">
      <c r="A59" t="s">
        <v>784</v>
      </c>
      <c r="B59" t="s">
        <v>10</v>
      </c>
      <c r="C59" t="str">
        <f t="shared" si="3"/>
        <v>AS</v>
      </c>
      <c r="D59" t="s">
        <v>101</v>
      </c>
      <c r="E59" t="s">
        <v>764</v>
      </c>
      <c r="F59" t="s">
        <v>764</v>
      </c>
      <c r="G59" t="s">
        <v>764</v>
      </c>
      <c r="H59">
        <v>26.75</v>
      </c>
      <c r="I59">
        <v>94.22</v>
      </c>
      <c r="J59" t="s">
        <v>1041</v>
      </c>
      <c r="K59" s="5" t="s">
        <v>826</v>
      </c>
      <c r="L59" t="s">
        <v>1020</v>
      </c>
      <c r="M59">
        <f>IF(L59=C59,1,0)</f>
        <v>1</v>
      </c>
    </row>
    <row r="60" spans="1:13" x14ac:dyDescent="0.3">
      <c r="A60" t="s">
        <v>784</v>
      </c>
      <c r="B60" t="s">
        <v>10</v>
      </c>
      <c r="C60" t="str">
        <f t="shared" si="3"/>
        <v>AS</v>
      </c>
      <c r="D60" t="s">
        <v>102</v>
      </c>
      <c r="E60" t="s">
        <v>764</v>
      </c>
      <c r="F60" t="s">
        <v>764</v>
      </c>
      <c r="G60" t="s">
        <v>764</v>
      </c>
      <c r="H60">
        <v>26.1468861</v>
      </c>
      <c r="I60" s="7">
        <v>91.222739700000005</v>
      </c>
      <c r="J60">
        <v>0</v>
      </c>
      <c r="K60" s="5"/>
    </row>
    <row r="61" spans="1:13" x14ac:dyDescent="0.3">
      <c r="A61" t="s">
        <v>784</v>
      </c>
      <c r="B61" t="s">
        <v>10</v>
      </c>
      <c r="C61" t="str">
        <f t="shared" si="3"/>
        <v>AS</v>
      </c>
      <c r="D61" t="s">
        <v>103</v>
      </c>
      <c r="E61" t="s">
        <v>766</v>
      </c>
      <c r="F61" t="s">
        <v>766</v>
      </c>
      <c r="G61" t="s">
        <v>766</v>
      </c>
      <c r="H61">
        <v>26.135263800000001</v>
      </c>
      <c r="I61" s="7">
        <v>91.861670599999997</v>
      </c>
      <c r="J61">
        <v>0</v>
      </c>
      <c r="K61" s="5"/>
    </row>
    <row r="62" spans="1:13" x14ac:dyDescent="0.3">
      <c r="A62" t="s">
        <v>784</v>
      </c>
      <c r="B62" t="s">
        <v>10</v>
      </c>
      <c r="C62" t="str">
        <f t="shared" si="3"/>
        <v>AS</v>
      </c>
      <c r="D62" t="s">
        <v>104</v>
      </c>
      <c r="E62" t="s">
        <v>764</v>
      </c>
      <c r="F62" t="s">
        <v>764</v>
      </c>
      <c r="G62" t="s">
        <v>764</v>
      </c>
      <c r="H62">
        <v>26.58</v>
      </c>
      <c r="I62">
        <v>93.83</v>
      </c>
      <c r="J62">
        <v>0</v>
      </c>
      <c r="K62" s="5"/>
    </row>
    <row r="63" spans="1:13" x14ac:dyDescent="0.3">
      <c r="A63" t="s">
        <v>784</v>
      </c>
      <c r="B63" t="s">
        <v>10</v>
      </c>
      <c r="C63" t="str">
        <f t="shared" si="3"/>
        <v>AS</v>
      </c>
      <c r="D63" t="s">
        <v>105</v>
      </c>
      <c r="E63" t="s">
        <v>764</v>
      </c>
      <c r="F63" t="s">
        <v>764</v>
      </c>
      <c r="G63" t="s">
        <v>764</v>
      </c>
      <c r="H63">
        <v>24.87</v>
      </c>
      <c r="I63">
        <v>92.35</v>
      </c>
      <c r="J63">
        <v>0</v>
      </c>
      <c r="K63" s="5"/>
    </row>
    <row r="64" spans="1:13" x14ac:dyDescent="0.3">
      <c r="A64" t="s">
        <v>784</v>
      </c>
      <c r="B64" t="s">
        <v>10</v>
      </c>
      <c r="C64" t="str">
        <f t="shared" si="3"/>
        <v>AS</v>
      </c>
      <c r="D64" t="s">
        <v>106</v>
      </c>
      <c r="E64" t="s">
        <v>764</v>
      </c>
      <c r="F64" t="s">
        <v>764</v>
      </c>
      <c r="G64" t="s">
        <v>764</v>
      </c>
      <c r="H64">
        <v>26.4</v>
      </c>
      <c r="I64">
        <v>90.27</v>
      </c>
      <c r="J64">
        <v>0</v>
      </c>
      <c r="K64" s="5"/>
    </row>
    <row r="65" spans="1:14" x14ac:dyDescent="0.3">
      <c r="A65" t="s">
        <v>784</v>
      </c>
      <c r="B65" t="s">
        <v>10</v>
      </c>
      <c r="C65" t="str">
        <f t="shared" si="3"/>
        <v>AS</v>
      </c>
      <c r="D65" t="s">
        <v>107</v>
      </c>
      <c r="E65" t="s">
        <v>764</v>
      </c>
      <c r="F65" t="s">
        <v>764</v>
      </c>
      <c r="G65" t="s">
        <v>764</v>
      </c>
      <c r="H65">
        <v>27.88</v>
      </c>
      <c r="I65">
        <v>94.33</v>
      </c>
      <c r="J65">
        <v>0</v>
      </c>
      <c r="K65" s="5"/>
    </row>
    <row r="66" spans="1:14" x14ac:dyDescent="0.3">
      <c r="A66" t="s">
        <v>784</v>
      </c>
      <c r="B66" t="s">
        <v>10</v>
      </c>
      <c r="C66" t="str">
        <f t="shared" si="3"/>
        <v>AS</v>
      </c>
      <c r="D66" t="s">
        <v>108</v>
      </c>
      <c r="E66" t="s">
        <v>764</v>
      </c>
      <c r="F66" t="s">
        <v>764</v>
      </c>
      <c r="G66" t="s">
        <v>764</v>
      </c>
      <c r="H66">
        <v>27.021952899999999</v>
      </c>
      <c r="I66" s="7">
        <v>94.327422999999996</v>
      </c>
      <c r="J66">
        <v>0</v>
      </c>
      <c r="K66" s="5"/>
    </row>
    <row r="67" spans="1:14" x14ac:dyDescent="0.3">
      <c r="A67" t="s">
        <v>784</v>
      </c>
      <c r="B67" t="s">
        <v>10</v>
      </c>
      <c r="C67" t="str">
        <f t="shared" si="3"/>
        <v>AS</v>
      </c>
      <c r="D67" t="s">
        <v>109</v>
      </c>
      <c r="E67" t="s">
        <v>766</v>
      </c>
      <c r="F67" t="s">
        <v>766</v>
      </c>
      <c r="G67" t="s">
        <v>766</v>
      </c>
      <c r="H67">
        <v>26.08</v>
      </c>
      <c r="I67">
        <v>95.08</v>
      </c>
      <c r="J67">
        <v>0</v>
      </c>
      <c r="K67" s="5"/>
    </row>
    <row r="68" spans="1:14" x14ac:dyDescent="0.3">
      <c r="A68" t="s">
        <v>784</v>
      </c>
      <c r="B68" t="s">
        <v>10</v>
      </c>
      <c r="C68" t="str">
        <f t="shared" si="3"/>
        <v>AS</v>
      </c>
      <c r="D68" t="s">
        <v>110</v>
      </c>
      <c r="E68" t="s">
        <v>764</v>
      </c>
      <c r="F68" t="s">
        <v>764</v>
      </c>
      <c r="G68" t="s">
        <v>764</v>
      </c>
      <c r="H68">
        <v>26.35</v>
      </c>
      <c r="I68">
        <v>92.68</v>
      </c>
      <c r="J68">
        <v>0</v>
      </c>
      <c r="K68" s="5"/>
    </row>
    <row r="69" spans="1:14" x14ac:dyDescent="0.3">
      <c r="A69" t="s">
        <v>784</v>
      </c>
      <c r="B69" t="s">
        <v>10</v>
      </c>
      <c r="C69" t="str">
        <f t="shared" si="3"/>
        <v>AS</v>
      </c>
      <c r="D69" t="s">
        <v>111</v>
      </c>
      <c r="E69" t="s">
        <v>764</v>
      </c>
      <c r="F69" t="s">
        <v>764</v>
      </c>
      <c r="G69" t="s">
        <v>764</v>
      </c>
      <c r="H69">
        <v>26.42</v>
      </c>
      <c r="I69">
        <v>91.43</v>
      </c>
      <c r="J69">
        <v>0</v>
      </c>
      <c r="K69" s="5"/>
    </row>
    <row r="70" spans="1:14" x14ac:dyDescent="0.3">
      <c r="A70" t="s">
        <v>784</v>
      </c>
      <c r="B70" t="s">
        <v>10</v>
      </c>
      <c r="C70" t="str">
        <f t="shared" si="3"/>
        <v>AS</v>
      </c>
      <c r="D70" t="s">
        <v>112</v>
      </c>
      <c r="E70" t="s">
        <v>764</v>
      </c>
      <c r="F70" t="s">
        <v>764</v>
      </c>
      <c r="G70" t="s">
        <v>764</v>
      </c>
      <c r="H70">
        <v>26.98</v>
      </c>
      <c r="I70">
        <v>94.63</v>
      </c>
      <c r="J70" t="s">
        <v>1042</v>
      </c>
      <c r="K70" s="5" t="s">
        <v>827</v>
      </c>
      <c r="L70" t="s">
        <v>1020</v>
      </c>
      <c r="M70">
        <f>IF(L70=C70,1,0)</f>
        <v>1</v>
      </c>
    </row>
    <row r="71" spans="1:14" x14ac:dyDescent="0.3">
      <c r="A71" t="s">
        <v>784</v>
      </c>
      <c r="B71" t="s">
        <v>10</v>
      </c>
      <c r="C71" t="str">
        <f t="shared" si="3"/>
        <v>AS</v>
      </c>
      <c r="D71" t="s">
        <v>113</v>
      </c>
      <c r="E71" t="s">
        <v>764</v>
      </c>
      <c r="F71" t="s">
        <v>764</v>
      </c>
      <c r="G71" t="s">
        <v>764</v>
      </c>
      <c r="H71">
        <v>26.7677707</v>
      </c>
      <c r="I71" s="7">
        <v>92.701408900000004</v>
      </c>
      <c r="J71">
        <v>0</v>
      </c>
      <c r="K71" s="5"/>
    </row>
    <row r="72" spans="1:14" x14ac:dyDescent="0.3">
      <c r="A72" t="s">
        <v>784</v>
      </c>
      <c r="B72" t="s">
        <v>10</v>
      </c>
      <c r="C72" t="str">
        <f t="shared" si="3"/>
        <v>AS</v>
      </c>
      <c r="D72" t="s">
        <v>114</v>
      </c>
      <c r="E72" t="s">
        <v>764</v>
      </c>
      <c r="F72" t="s">
        <v>764</v>
      </c>
      <c r="G72" t="s">
        <v>764</v>
      </c>
      <c r="H72">
        <v>25.760447200000002</v>
      </c>
      <c r="I72" s="7">
        <v>89.892806100000001</v>
      </c>
      <c r="J72">
        <v>0</v>
      </c>
      <c r="K72" s="5"/>
    </row>
    <row r="73" spans="1:14" x14ac:dyDescent="0.3">
      <c r="A73" t="s">
        <v>784</v>
      </c>
      <c r="B73" t="s">
        <v>10</v>
      </c>
      <c r="C73" t="str">
        <f t="shared" si="3"/>
        <v>AS</v>
      </c>
      <c r="D73" t="s">
        <v>115</v>
      </c>
      <c r="E73" t="s">
        <v>764</v>
      </c>
      <c r="F73" t="s">
        <v>764</v>
      </c>
      <c r="G73" t="s">
        <v>764</v>
      </c>
      <c r="H73">
        <v>27.5</v>
      </c>
      <c r="I73">
        <v>95.37</v>
      </c>
      <c r="J73">
        <v>0</v>
      </c>
      <c r="K73" s="5"/>
    </row>
    <row r="74" spans="1:14" x14ac:dyDescent="0.3">
      <c r="A74" t="s">
        <v>784</v>
      </c>
      <c r="B74" t="s">
        <v>10</v>
      </c>
      <c r="C74" t="str">
        <f t="shared" si="3"/>
        <v>AS</v>
      </c>
      <c r="D74" t="s">
        <v>116</v>
      </c>
      <c r="E74" t="s">
        <v>764</v>
      </c>
      <c r="F74" t="s">
        <v>764</v>
      </c>
      <c r="G74" t="s">
        <v>764</v>
      </c>
      <c r="H74">
        <v>26.7047238</v>
      </c>
      <c r="I74" s="7">
        <v>92.042150699999993</v>
      </c>
      <c r="J74">
        <v>0</v>
      </c>
      <c r="K74" s="5"/>
    </row>
    <row r="75" spans="1:14" x14ac:dyDescent="0.3">
      <c r="A75" t="s">
        <v>784</v>
      </c>
      <c r="B75" t="s">
        <v>10</v>
      </c>
      <c r="C75" t="str">
        <f t="shared" si="3"/>
        <v>AS</v>
      </c>
      <c r="D75" t="s">
        <v>117</v>
      </c>
      <c r="E75" t="s">
        <v>766</v>
      </c>
      <c r="F75" t="s">
        <v>766</v>
      </c>
      <c r="G75" t="s">
        <v>766</v>
      </c>
      <c r="H75">
        <v>25.852914200000001</v>
      </c>
      <c r="I75" s="7">
        <v>92.587568099999999</v>
      </c>
      <c r="J75">
        <v>0</v>
      </c>
      <c r="K75" s="5"/>
    </row>
    <row r="76" spans="1:14" x14ac:dyDescent="0.3">
      <c r="A76" t="s">
        <v>784</v>
      </c>
      <c r="B76" t="s">
        <v>11</v>
      </c>
      <c r="C76" t="str">
        <f>IF(B76="Bihar","BR",0)</f>
        <v>BR</v>
      </c>
      <c r="D76" t="s">
        <v>118</v>
      </c>
      <c r="E76" t="s">
        <v>764</v>
      </c>
      <c r="F76" t="s">
        <v>764</v>
      </c>
      <c r="G76" t="s">
        <v>764</v>
      </c>
      <c r="H76">
        <v>25.57</v>
      </c>
      <c r="I76">
        <v>84.53</v>
      </c>
      <c r="J76">
        <v>0</v>
      </c>
      <c r="K76" s="5"/>
    </row>
    <row r="77" spans="1:14" x14ac:dyDescent="0.3">
      <c r="A77" t="s">
        <v>784</v>
      </c>
      <c r="B77" t="s">
        <v>11</v>
      </c>
      <c r="C77" t="str">
        <f t="shared" ref="C77:C113" si="4">IF(B77="Bihar","BR",0)</f>
        <v>BR</v>
      </c>
      <c r="D77" t="s">
        <v>119</v>
      </c>
      <c r="E77" t="s">
        <v>767</v>
      </c>
      <c r="F77" t="s">
        <v>767</v>
      </c>
      <c r="G77" t="s">
        <v>767</v>
      </c>
      <c r="H77">
        <v>25.42</v>
      </c>
      <c r="I77">
        <v>85.13</v>
      </c>
      <c r="J77">
        <v>0</v>
      </c>
      <c r="K77" s="5"/>
    </row>
    <row r="78" spans="1:14" x14ac:dyDescent="0.3">
      <c r="A78" t="s">
        <v>784</v>
      </c>
      <c r="B78" t="s">
        <v>11</v>
      </c>
      <c r="C78" t="str">
        <f t="shared" si="4"/>
        <v>BR</v>
      </c>
      <c r="D78" t="s">
        <v>120</v>
      </c>
      <c r="E78" t="s">
        <v>767</v>
      </c>
      <c r="F78" t="s">
        <v>767</v>
      </c>
      <c r="G78" t="s">
        <v>767</v>
      </c>
      <c r="H78">
        <v>24.75</v>
      </c>
      <c r="I78">
        <v>84.42</v>
      </c>
      <c r="J78" t="s">
        <v>1043</v>
      </c>
      <c r="K78" s="5" t="s">
        <v>828</v>
      </c>
      <c r="L78" t="s">
        <v>798</v>
      </c>
      <c r="M78">
        <f>IF(L78=C78,1,0)</f>
        <v>0</v>
      </c>
      <c r="N78" t="s">
        <v>1023</v>
      </c>
    </row>
    <row r="79" spans="1:14" x14ac:dyDescent="0.3">
      <c r="A79" t="s">
        <v>784</v>
      </c>
      <c r="B79" t="s">
        <v>11</v>
      </c>
      <c r="C79" t="str">
        <f t="shared" si="4"/>
        <v>BR</v>
      </c>
      <c r="D79" t="s">
        <v>121</v>
      </c>
      <c r="E79" t="s">
        <v>768</v>
      </c>
      <c r="F79" t="s">
        <v>767</v>
      </c>
      <c r="G79" t="s">
        <v>768</v>
      </c>
      <c r="H79">
        <v>25.5</v>
      </c>
      <c r="I79">
        <v>85.3</v>
      </c>
      <c r="J79">
        <v>0</v>
      </c>
      <c r="K79" s="5"/>
    </row>
    <row r="80" spans="1:14" x14ac:dyDescent="0.3">
      <c r="A80" t="s">
        <v>784</v>
      </c>
      <c r="B80" t="s">
        <v>11</v>
      </c>
      <c r="C80" t="str">
        <f t="shared" si="4"/>
        <v>BR</v>
      </c>
      <c r="D80" t="s">
        <v>122</v>
      </c>
      <c r="E80" t="s">
        <v>767</v>
      </c>
      <c r="F80" t="s">
        <v>767</v>
      </c>
      <c r="G80" t="s">
        <v>767</v>
      </c>
      <c r="H80">
        <v>25.75</v>
      </c>
      <c r="I80">
        <v>86.6</v>
      </c>
      <c r="J80">
        <v>0</v>
      </c>
      <c r="K80" s="5"/>
    </row>
    <row r="81" spans="1:13" x14ac:dyDescent="0.3">
      <c r="A81" t="s">
        <v>784</v>
      </c>
      <c r="B81" t="s">
        <v>11</v>
      </c>
      <c r="C81" t="str">
        <f t="shared" si="4"/>
        <v>BR</v>
      </c>
      <c r="D81" t="s">
        <v>123</v>
      </c>
      <c r="E81" t="s">
        <v>764</v>
      </c>
      <c r="F81" t="s">
        <v>764</v>
      </c>
      <c r="G81" t="s">
        <v>764</v>
      </c>
      <c r="H81">
        <v>25.25</v>
      </c>
      <c r="I81">
        <v>87.02</v>
      </c>
      <c r="J81" t="s">
        <v>1044</v>
      </c>
      <c r="K81" s="5" t="s">
        <v>829</v>
      </c>
      <c r="L81" t="s">
        <v>1021</v>
      </c>
      <c r="M81">
        <f>IF(L81=C81,1,0)</f>
        <v>1</v>
      </c>
    </row>
    <row r="82" spans="1:13" x14ac:dyDescent="0.3">
      <c r="A82" t="s">
        <v>784</v>
      </c>
      <c r="B82" t="s">
        <v>11</v>
      </c>
      <c r="C82" t="str">
        <f t="shared" si="4"/>
        <v>BR</v>
      </c>
      <c r="D82" t="s">
        <v>124</v>
      </c>
      <c r="E82" t="s">
        <v>767</v>
      </c>
      <c r="F82" t="s">
        <v>767</v>
      </c>
      <c r="G82" t="s">
        <v>767</v>
      </c>
      <c r="H82">
        <v>25.67</v>
      </c>
      <c r="I82">
        <v>84.75</v>
      </c>
      <c r="J82">
        <v>0</v>
      </c>
      <c r="K82" s="5"/>
    </row>
    <row r="83" spans="1:13" x14ac:dyDescent="0.3">
      <c r="A83" t="s">
        <v>784</v>
      </c>
      <c r="B83" t="s">
        <v>11</v>
      </c>
      <c r="C83" t="str">
        <f t="shared" si="4"/>
        <v>BR</v>
      </c>
      <c r="D83" t="s">
        <v>125</v>
      </c>
      <c r="E83" t="s">
        <v>767</v>
      </c>
      <c r="F83" t="s">
        <v>767</v>
      </c>
      <c r="G83" t="s">
        <v>767</v>
      </c>
      <c r="H83">
        <v>25.57</v>
      </c>
      <c r="I83">
        <v>84.02</v>
      </c>
      <c r="J83">
        <v>0</v>
      </c>
      <c r="K83" s="5"/>
    </row>
    <row r="84" spans="1:13" x14ac:dyDescent="0.3">
      <c r="A84" t="s">
        <v>784</v>
      </c>
      <c r="B84" t="s">
        <v>11</v>
      </c>
      <c r="C84" t="str">
        <f t="shared" si="4"/>
        <v>BR</v>
      </c>
      <c r="D84" t="s">
        <v>126</v>
      </c>
      <c r="E84" t="s">
        <v>764</v>
      </c>
      <c r="F84" t="s">
        <v>764</v>
      </c>
      <c r="G84" t="s">
        <v>764</v>
      </c>
      <c r="H84">
        <v>26.17</v>
      </c>
      <c r="I84">
        <v>85.95</v>
      </c>
      <c r="J84" t="s">
        <v>1045</v>
      </c>
      <c r="K84" s="5" t="s">
        <v>830</v>
      </c>
      <c r="L84" t="s">
        <v>1021</v>
      </c>
      <c r="M84">
        <f>IF(L84=C84,1,0)</f>
        <v>1</v>
      </c>
    </row>
    <row r="85" spans="1:13" x14ac:dyDescent="0.3">
      <c r="A85" t="s">
        <v>784</v>
      </c>
      <c r="B85" t="s">
        <v>11</v>
      </c>
      <c r="C85" t="str">
        <f t="shared" si="4"/>
        <v>BR</v>
      </c>
      <c r="D85" t="s">
        <v>127</v>
      </c>
      <c r="E85" t="s">
        <v>764</v>
      </c>
      <c r="F85" t="s">
        <v>764</v>
      </c>
      <c r="G85" t="s">
        <v>764</v>
      </c>
      <c r="H85">
        <v>26.27</v>
      </c>
      <c r="I85">
        <v>84.5</v>
      </c>
      <c r="J85">
        <v>0</v>
      </c>
      <c r="K85" s="5"/>
    </row>
    <row r="86" spans="1:13" x14ac:dyDescent="0.3">
      <c r="A86" t="s">
        <v>784</v>
      </c>
      <c r="B86" t="s">
        <v>11</v>
      </c>
      <c r="C86" t="str">
        <f t="shared" si="4"/>
        <v>BR</v>
      </c>
      <c r="D86" t="s">
        <v>128</v>
      </c>
      <c r="E86" t="s">
        <v>767</v>
      </c>
      <c r="F86" t="s">
        <v>767</v>
      </c>
      <c r="G86" t="s">
        <v>767</v>
      </c>
      <c r="H86">
        <v>42.82</v>
      </c>
      <c r="I86">
        <v>85.02</v>
      </c>
      <c r="J86" t="s">
        <v>1046</v>
      </c>
      <c r="K86" s="5" t="s">
        <v>831</v>
      </c>
      <c r="L86" t="s">
        <v>1021</v>
      </c>
      <c r="M86">
        <f>IF(L86=C86,1,0)</f>
        <v>1</v>
      </c>
    </row>
    <row r="87" spans="1:13" x14ac:dyDescent="0.3">
      <c r="A87" t="s">
        <v>784</v>
      </c>
      <c r="B87" t="s">
        <v>11</v>
      </c>
      <c r="C87" t="str">
        <f t="shared" si="4"/>
        <v>BR</v>
      </c>
      <c r="D87" t="s">
        <v>129</v>
      </c>
      <c r="E87" t="s">
        <v>767</v>
      </c>
      <c r="F87" t="s">
        <v>767</v>
      </c>
      <c r="G87" t="s">
        <v>767</v>
      </c>
      <c r="H87">
        <v>26.47</v>
      </c>
      <c r="I87">
        <v>84.43</v>
      </c>
      <c r="J87">
        <v>0</v>
      </c>
      <c r="K87" s="5"/>
    </row>
    <row r="88" spans="1:13" x14ac:dyDescent="0.3">
      <c r="A88" t="s">
        <v>784</v>
      </c>
      <c r="B88" t="s">
        <v>11</v>
      </c>
      <c r="C88" t="str">
        <f t="shared" si="4"/>
        <v>BR</v>
      </c>
      <c r="D88" t="s">
        <v>130</v>
      </c>
      <c r="E88" t="s">
        <v>767</v>
      </c>
      <c r="F88" t="s">
        <v>767</v>
      </c>
      <c r="G88" t="s">
        <v>767</v>
      </c>
      <c r="H88">
        <v>24.92</v>
      </c>
      <c r="I88">
        <v>86.22</v>
      </c>
      <c r="J88">
        <v>0</v>
      </c>
      <c r="K88" s="5"/>
    </row>
    <row r="89" spans="1:13" x14ac:dyDescent="0.3">
      <c r="A89" t="s">
        <v>784</v>
      </c>
      <c r="B89" t="s">
        <v>11</v>
      </c>
      <c r="C89" t="str">
        <f t="shared" si="4"/>
        <v>BR</v>
      </c>
      <c r="D89" t="s">
        <v>131</v>
      </c>
      <c r="E89" t="s">
        <v>767</v>
      </c>
      <c r="F89" t="s">
        <v>767</v>
      </c>
      <c r="G89" t="s">
        <v>767</v>
      </c>
      <c r="H89">
        <v>25.25</v>
      </c>
      <c r="I89">
        <v>85.25</v>
      </c>
      <c r="J89">
        <v>0</v>
      </c>
      <c r="K89" s="5"/>
    </row>
    <row r="90" spans="1:13" x14ac:dyDescent="0.3">
      <c r="A90" t="s">
        <v>784</v>
      </c>
      <c r="B90" t="s">
        <v>11</v>
      </c>
      <c r="C90" t="str">
        <f t="shared" si="4"/>
        <v>BR</v>
      </c>
      <c r="D90" t="s">
        <v>132</v>
      </c>
      <c r="E90" t="s">
        <v>767</v>
      </c>
      <c r="F90" t="s">
        <v>767</v>
      </c>
      <c r="G90" t="s">
        <v>767</v>
      </c>
      <c r="H90">
        <v>24.9</v>
      </c>
      <c r="I90">
        <v>83.67</v>
      </c>
      <c r="J90">
        <v>0</v>
      </c>
      <c r="K90" s="5"/>
    </row>
    <row r="91" spans="1:13" x14ac:dyDescent="0.3">
      <c r="A91" t="s">
        <v>784</v>
      </c>
      <c r="B91" t="s">
        <v>11</v>
      </c>
      <c r="C91" t="str">
        <f t="shared" si="4"/>
        <v>BR</v>
      </c>
      <c r="D91" t="s">
        <v>133</v>
      </c>
      <c r="E91" t="s">
        <v>764</v>
      </c>
      <c r="F91" t="s">
        <v>764</v>
      </c>
      <c r="G91" t="s">
        <v>764</v>
      </c>
      <c r="H91">
        <v>25.5</v>
      </c>
      <c r="I91">
        <v>87.67</v>
      </c>
      <c r="J91">
        <v>0</v>
      </c>
      <c r="K91" s="5"/>
    </row>
    <row r="92" spans="1:13" x14ac:dyDescent="0.3">
      <c r="A92" t="s">
        <v>784</v>
      </c>
      <c r="B92" t="s">
        <v>11</v>
      </c>
      <c r="C92" t="str">
        <f t="shared" si="4"/>
        <v>BR</v>
      </c>
      <c r="D92" t="s">
        <v>134</v>
      </c>
      <c r="E92" t="s">
        <v>768</v>
      </c>
      <c r="F92" t="s">
        <v>767</v>
      </c>
      <c r="G92" t="s">
        <v>768</v>
      </c>
      <c r="H92">
        <v>25.5</v>
      </c>
      <c r="I92">
        <v>86.48</v>
      </c>
      <c r="J92">
        <v>0</v>
      </c>
      <c r="K92" s="5"/>
    </row>
    <row r="93" spans="1:13" x14ac:dyDescent="0.3">
      <c r="A93" t="s">
        <v>784</v>
      </c>
      <c r="B93" t="s">
        <v>11</v>
      </c>
      <c r="C93" t="str">
        <f t="shared" si="4"/>
        <v>BR</v>
      </c>
      <c r="D93" t="s">
        <v>135</v>
      </c>
      <c r="E93" t="s">
        <v>764</v>
      </c>
      <c r="F93" t="s">
        <v>764</v>
      </c>
      <c r="G93" t="s">
        <v>764</v>
      </c>
      <c r="H93">
        <v>26.17</v>
      </c>
      <c r="I93">
        <v>87.03</v>
      </c>
      <c r="J93">
        <v>0</v>
      </c>
      <c r="K93" s="5"/>
    </row>
    <row r="94" spans="1:13" x14ac:dyDescent="0.3">
      <c r="A94" t="s">
        <v>784</v>
      </c>
      <c r="B94" t="s">
        <v>11</v>
      </c>
      <c r="C94" t="str">
        <f t="shared" si="4"/>
        <v>BR</v>
      </c>
      <c r="D94" t="s">
        <v>136</v>
      </c>
      <c r="E94" t="s">
        <v>767</v>
      </c>
      <c r="F94" t="s">
        <v>767</v>
      </c>
      <c r="G94" t="s">
        <v>767</v>
      </c>
      <c r="H94">
        <v>25.33</v>
      </c>
      <c r="I94">
        <v>86.42</v>
      </c>
      <c r="J94">
        <v>0</v>
      </c>
      <c r="K94" s="5"/>
    </row>
    <row r="95" spans="1:13" x14ac:dyDescent="0.3">
      <c r="A95" t="s">
        <v>784</v>
      </c>
      <c r="B95" t="s">
        <v>11</v>
      </c>
      <c r="C95" t="str">
        <f t="shared" si="4"/>
        <v>BR</v>
      </c>
      <c r="D95" t="s">
        <v>137</v>
      </c>
      <c r="E95" t="s">
        <v>764</v>
      </c>
      <c r="F95" t="s">
        <v>764</v>
      </c>
      <c r="G95" t="s">
        <v>764</v>
      </c>
      <c r="H95">
        <v>26.12</v>
      </c>
      <c r="I95">
        <v>87.12</v>
      </c>
      <c r="J95">
        <v>0</v>
      </c>
      <c r="K95" s="5"/>
    </row>
    <row r="96" spans="1:13" x14ac:dyDescent="0.3">
      <c r="A96" t="s">
        <v>784</v>
      </c>
      <c r="B96" t="s">
        <v>11</v>
      </c>
      <c r="C96" t="str">
        <f t="shared" si="4"/>
        <v>BR</v>
      </c>
      <c r="D96" t="s">
        <v>138</v>
      </c>
      <c r="E96" t="s">
        <v>764</v>
      </c>
      <c r="F96" t="s">
        <v>764</v>
      </c>
      <c r="G96" t="s">
        <v>764</v>
      </c>
      <c r="H96">
        <v>26.37</v>
      </c>
      <c r="I96">
        <v>86.07</v>
      </c>
      <c r="J96">
        <v>0</v>
      </c>
      <c r="K96" s="5"/>
    </row>
    <row r="97" spans="1:13" x14ac:dyDescent="0.3">
      <c r="A97" t="s">
        <v>784</v>
      </c>
      <c r="B97" t="s">
        <v>11</v>
      </c>
      <c r="C97" t="str">
        <f t="shared" si="4"/>
        <v>BR</v>
      </c>
      <c r="D97" t="s">
        <v>139</v>
      </c>
      <c r="E97" t="s">
        <v>767</v>
      </c>
      <c r="F97" t="s">
        <v>767</v>
      </c>
      <c r="G97" t="s">
        <v>767</v>
      </c>
      <c r="H97">
        <v>25.38</v>
      </c>
      <c r="I97">
        <v>86.5</v>
      </c>
      <c r="J97">
        <v>0</v>
      </c>
      <c r="K97" s="5"/>
    </row>
    <row r="98" spans="1:13" x14ac:dyDescent="0.3">
      <c r="A98" t="s">
        <v>784</v>
      </c>
      <c r="B98" t="s">
        <v>11</v>
      </c>
      <c r="C98" t="str">
        <f t="shared" si="4"/>
        <v>BR</v>
      </c>
      <c r="D98" t="s">
        <v>140</v>
      </c>
      <c r="E98" t="s">
        <v>768</v>
      </c>
      <c r="F98" t="s">
        <v>767</v>
      </c>
      <c r="G98" t="s">
        <v>768</v>
      </c>
      <c r="H98">
        <v>26.12</v>
      </c>
      <c r="I98">
        <v>85.45</v>
      </c>
      <c r="J98" t="s">
        <v>1047</v>
      </c>
      <c r="K98" s="5" t="s">
        <v>832</v>
      </c>
      <c r="L98" t="s">
        <v>1021</v>
      </c>
      <c r="M98">
        <f>IF(L98=C98,1,0)</f>
        <v>1</v>
      </c>
    </row>
    <row r="99" spans="1:13" x14ac:dyDescent="0.3">
      <c r="A99" t="s">
        <v>784</v>
      </c>
      <c r="B99" t="s">
        <v>11</v>
      </c>
      <c r="C99" t="str">
        <f t="shared" si="4"/>
        <v>BR</v>
      </c>
      <c r="D99" t="s">
        <v>141</v>
      </c>
      <c r="E99" t="s">
        <v>767</v>
      </c>
      <c r="F99" t="s">
        <v>767</v>
      </c>
      <c r="G99" t="s">
        <v>767</v>
      </c>
      <c r="H99">
        <v>25.13</v>
      </c>
      <c r="I99">
        <v>85.45</v>
      </c>
      <c r="J99">
        <v>0</v>
      </c>
      <c r="K99" s="5"/>
    </row>
    <row r="100" spans="1:13" x14ac:dyDescent="0.3">
      <c r="A100" t="s">
        <v>784</v>
      </c>
      <c r="B100" t="s">
        <v>11</v>
      </c>
      <c r="C100" t="str">
        <f t="shared" si="4"/>
        <v>BR</v>
      </c>
      <c r="D100" t="s">
        <v>142</v>
      </c>
      <c r="E100" t="s">
        <v>767</v>
      </c>
      <c r="F100" t="s">
        <v>767</v>
      </c>
      <c r="G100" t="s">
        <v>767</v>
      </c>
      <c r="H100">
        <v>24.88</v>
      </c>
      <c r="I100">
        <v>85.58</v>
      </c>
      <c r="J100">
        <v>0</v>
      </c>
      <c r="K100" s="5"/>
    </row>
    <row r="101" spans="1:13" x14ac:dyDescent="0.3">
      <c r="A101" t="s">
        <v>784</v>
      </c>
      <c r="B101" t="s">
        <v>11</v>
      </c>
      <c r="C101" t="str">
        <f t="shared" si="4"/>
        <v>BR</v>
      </c>
      <c r="D101" t="s">
        <v>143</v>
      </c>
      <c r="E101" t="s">
        <v>767</v>
      </c>
      <c r="F101" t="s">
        <v>767</v>
      </c>
      <c r="G101" t="s">
        <v>767</v>
      </c>
      <c r="H101">
        <v>25.62</v>
      </c>
      <c r="I101">
        <v>85.22</v>
      </c>
      <c r="J101" t="s">
        <v>1048</v>
      </c>
      <c r="K101" s="5" t="s">
        <v>833</v>
      </c>
      <c r="L101" t="s">
        <v>1021</v>
      </c>
      <c r="M101">
        <f>IF(L101=C101,1,0)</f>
        <v>1</v>
      </c>
    </row>
    <row r="102" spans="1:13" x14ac:dyDescent="0.3">
      <c r="A102" t="s">
        <v>784</v>
      </c>
      <c r="B102" t="s">
        <v>11</v>
      </c>
      <c r="C102" t="str">
        <f t="shared" si="4"/>
        <v>BR</v>
      </c>
      <c r="D102" t="s">
        <v>144</v>
      </c>
      <c r="E102" t="s">
        <v>764</v>
      </c>
      <c r="F102" t="s">
        <v>764</v>
      </c>
      <c r="G102" t="s">
        <v>764</v>
      </c>
      <c r="H102">
        <v>25.82</v>
      </c>
      <c r="I102">
        <v>87.52</v>
      </c>
      <c r="J102">
        <v>0</v>
      </c>
      <c r="K102" s="5"/>
    </row>
    <row r="103" spans="1:13" x14ac:dyDescent="0.3">
      <c r="A103" t="s">
        <v>784</v>
      </c>
      <c r="B103" t="s">
        <v>11</v>
      </c>
      <c r="C103" t="str">
        <f t="shared" si="4"/>
        <v>BR</v>
      </c>
      <c r="D103" t="s">
        <v>145</v>
      </c>
      <c r="E103" t="s">
        <v>767</v>
      </c>
      <c r="F103" t="s">
        <v>767</v>
      </c>
      <c r="G103" t="s">
        <v>767</v>
      </c>
      <c r="H103">
        <v>25.45</v>
      </c>
      <c r="I103">
        <v>84.3</v>
      </c>
      <c r="J103">
        <v>0</v>
      </c>
      <c r="K103" s="5"/>
    </row>
    <row r="104" spans="1:13" x14ac:dyDescent="0.3">
      <c r="A104" t="s">
        <v>784</v>
      </c>
      <c r="B104" t="s">
        <v>11</v>
      </c>
      <c r="C104" t="str">
        <f t="shared" si="4"/>
        <v>BR</v>
      </c>
      <c r="D104" t="s">
        <v>146</v>
      </c>
      <c r="E104" t="s">
        <v>764</v>
      </c>
      <c r="F104" t="s">
        <v>764</v>
      </c>
      <c r="G104" t="s">
        <v>764</v>
      </c>
      <c r="H104">
        <v>25.92</v>
      </c>
      <c r="I104">
        <v>86.58</v>
      </c>
      <c r="J104">
        <v>0</v>
      </c>
      <c r="K104" s="5"/>
    </row>
    <row r="105" spans="1:13" x14ac:dyDescent="0.3">
      <c r="A105" t="s">
        <v>784</v>
      </c>
      <c r="B105" t="s">
        <v>11</v>
      </c>
      <c r="C105" t="str">
        <f t="shared" si="4"/>
        <v>BR</v>
      </c>
      <c r="D105" t="s">
        <v>147</v>
      </c>
      <c r="E105" t="s">
        <v>767</v>
      </c>
      <c r="F105" t="s">
        <v>767</v>
      </c>
      <c r="G105" t="s">
        <v>767</v>
      </c>
      <c r="H105">
        <v>25.92</v>
      </c>
      <c r="I105">
        <v>85.08</v>
      </c>
      <c r="J105">
        <v>0</v>
      </c>
      <c r="K105" s="5"/>
    </row>
    <row r="106" spans="1:13" x14ac:dyDescent="0.3">
      <c r="A106" t="s">
        <v>784</v>
      </c>
      <c r="B106" t="s">
        <v>11</v>
      </c>
      <c r="C106" t="str">
        <f t="shared" si="4"/>
        <v>BR</v>
      </c>
      <c r="D106" t="s">
        <v>148</v>
      </c>
      <c r="E106" t="s">
        <v>767</v>
      </c>
      <c r="F106" t="s">
        <v>767</v>
      </c>
      <c r="G106" t="s">
        <v>767</v>
      </c>
      <c r="H106">
        <v>26.22</v>
      </c>
      <c r="I106">
        <v>85.25</v>
      </c>
      <c r="J106">
        <v>0</v>
      </c>
      <c r="K106" s="5"/>
    </row>
    <row r="107" spans="1:13" x14ac:dyDescent="0.3">
      <c r="A107" t="s">
        <v>784</v>
      </c>
      <c r="B107" t="s">
        <v>11</v>
      </c>
      <c r="C107" t="str">
        <f t="shared" si="4"/>
        <v>BR</v>
      </c>
      <c r="D107" t="s">
        <v>149</v>
      </c>
      <c r="E107" t="s">
        <v>767</v>
      </c>
      <c r="F107" t="s">
        <v>767</v>
      </c>
      <c r="G107" t="s">
        <v>767</v>
      </c>
      <c r="H107">
        <v>25.15</v>
      </c>
      <c r="I107">
        <v>85.88</v>
      </c>
      <c r="J107">
        <v>0</v>
      </c>
      <c r="K107" s="5"/>
    </row>
    <row r="108" spans="1:13" x14ac:dyDescent="0.3">
      <c r="A108" t="s">
        <v>784</v>
      </c>
      <c r="B108" t="s">
        <v>11</v>
      </c>
      <c r="C108" t="str">
        <f t="shared" si="4"/>
        <v>BR</v>
      </c>
      <c r="D108" t="s">
        <v>150</v>
      </c>
      <c r="E108" t="s">
        <v>764</v>
      </c>
      <c r="F108" t="s">
        <v>764</v>
      </c>
      <c r="G108" t="s">
        <v>764</v>
      </c>
      <c r="H108">
        <v>26.03</v>
      </c>
      <c r="I108">
        <v>85.05</v>
      </c>
      <c r="J108">
        <v>0</v>
      </c>
      <c r="K108" s="5"/>
    </row>
    <row r="109" spans="1:13" x14ac:dyDescent="0.3">
      <c r="A109" t="s">
        <v>784</v>
      </c>
      <c r="B109" t="s">
        <v>11</v>
      </c>
      <c r="C109" t="str">
        <f t="shared" si="4"/>
        <v>BR</v>
      </c>
      <c r="D109" t="s">
        <v>151</v>
      </c>
      <c r="E109" t="s">
        <v>764</v>
      </c>
      <c r="F109" t="s">
        <v>764</v>
      </c>
      <c r="G109" t="s">
        <v>764</v>
      </c>
      <c r="H109">
        <v>27</v>
      </c>
      <c r="I109">
        <v>85.8</v>
      </c>
      <c r="J109">
        <v>0</v>
      </c>
      <c r="K109" s="5"/>
    </row>
    <row r="110" spans="1:13" x14ac:dyDescent="0.3">
      <c r="A110" t="s">
        <v>784</v>
      </c>
      <c r="B110" t="s">
        <v>11</v>
      </c>
      <c r="C110" t="str">
        <f t="shared" si="4"/>
        <v>BR</v>
      </c>
      <c r="D110" t="s">
        <v>152</v>
      </c>
      <c r="E110" t="s">
        <v>767</v>
      </c>
      <c r="F110" t="s">
        <v>767</v>
      </c>
      <c r="G110" t="s">
        <v>767</v>
      </c>
      <c r="H110">
        <v>25.13</v>
      </c>
      <c r="I110">
        <v>83.88</v>
      </c>
      <c r="J110">
        <v>0</v>
      </c>
      <c r="K110" s="5"/>
    </row>
    <row r="111" spans="1:13" x14ac:dyDescent="0.3">
      <c r="A111" t="s">
        <v>784</v>
      </c>
      <c r="B111" t="s">
        <v>11</v>
      </c>
      <c r="C111" t="str">
        <f t="shared" si="4"/>
        <v>BR</v>
      </c>
      <c r="D111" t="s">
        <v>153</v>
      </c>
      <c r="E111" t="s">
        <v>764</v>
      </c>
      <c r="F111" t="s">
        <v>764</v>
      </c>
      <c r="G111" t="s">
        <v>764</v>
      </c>
      <c r="H111">
        <v>26.03</v>
      </c>
      <c r="I111">
        <v>88.5</v>
      </c>
      <c r="J111" t="s">
        <v>1049</v>
      </c>
      <c r="K111" s="5" t="s">
        <v>834</v>
      </c>
      <c r="L111" t="s">
        <v>1021</v>
      </c>
      <c r="M111">
        <f>IF(L111=C111,1,0)</f>
        <v>1</v>
      </c>
    </row>
    <row r="112" spans="1:13" x14ac:dyDescent="0.3">
      <c r="A112" t="s">
        <v>784</v>
      </c>
      <c r="B112" t="s">
        <v>11</v>
      </c>
      <c r="C112" t="str">
        <f t="shared" si="4"/>
        <v>BR</v>
      </c>
      <c r="D112" t="s">
        <v>154</v>
      </c>
      <c r="E112" t="s">
        <v>767</v>
      </c>
      <c r="F112" t="s">
        <v>767</v>
      </c>
      <c r="G112" t="s">
        <v>767</v>
      </c>
      <c r="H112">
        <v>25.03</v>
      </c>
      <c r="I112">
        <v>85.05</v>
      </c>
      <c r="J112">
        <v>0</v>
      </c>
      <c r="K112" s="5"/>
    </row>
    <row r="113" spans="1:14" x14ac:dyDescent="0.3">
      <c r="A113" t="s">
        <v>784</v>
      </c>
      <c r="B113" t="s">
        <v>11</v>
      </c>
      <c r="C113" t="str">
        <f t="shared" si="4"/>
        <v>BR</v>
      </c>
      <c r="D113" t="s">
        <v>155</v>
      </c>
      <c r="E113" t="s">
        <v>767</v>
      </c>
      <c r="F113" t="s">
        <v>767</v>
      </c>
      <c r="G113" t="s">
        <v>767</v>
      </c>
      <c r="H113">
        <v>26.27</v>
      </c>
      <c r="I113">
        <v>85.3</v>
      </c>
      <c r="J113">
        <v>0</v>
      </c>
      <c r="K113" s="5"/>
    </row>
    <row r="114" spans="1:14" x14ac:dyDescent="0.3">
      <c r="A114" t="s">
        <v>784</v>
      </c>
      <c r="B114" t="s">
        <v>12</v>
      </c>
      <c r="C114" t="str">
        <f>IF(B114="Chandigarh","CG",0)</f>
        <v>CG</v>
      </c>
      <c r="D114" t="s">
        <v>12</v>
      </c>
      <c r="E114" t="s">
        <v>767</v>
      </c>
      <c r="F114" t="s">
        <v>767</v>
      </c>
      <c r="G114" t="s">
        <v>767</v>
      </c>
      <c r="H114">
        <v>30.733442100000001</v>
      </c>
      <c r="I114" s="7">
        <v>76.779714299999995</v>
      </c>
      <c r="J114" t="s">
        <v>1050</v>
      </c>
      <c r="K114" s="6" t="s">
        <v>835</v>
      </c>
      <c r="L114" t="s">
        <v>805</v>
      </c>
      <c r="M114">
        <f>IF(L114=C114,1,0)</f>
        <v>0</v>
      </c>
      <c r="N114" t="s">
        <v>1025</v>
      </c>
    </row>
    <row r="115" spans="1:14" x14ac:dyDescent="0.3">
      <c r="A115" t="s">
        <v>784</v>
      </c>
      <c r="B115" t="s">
        <v>13</v>
      </c>
      <c r="C115" t="str">
        <f>IF(B115="Chhattisgarh","CT",0)</f>
        <v>CT</v>
      </c>
      <c r="D115" t="s">
        <v>156</v>
      </c>
      <c r="E115" t="s">
        <v>767</v>
      </c>
      <c r="F115" t="s">
        <v>767</v>
      </c>
      <c r="G115" t="s">
        <v>767</v>
      </c>
      <c r="H115">
        <v>20.727719199999999</v>
      </c>
      <c r="I115" s="7">
        <v>81.144694799999996</v>
      </c>
      <c r="J115">
        <v>0</v>
      </c>
      <c r="K115" s="5"/>
    </row>
    <row r="116" spans="1:14" x14ac:dyDescent="0.3">
      <c r="A116" t="s">
        <v>784</v>
      </c>
      <c r="B116" t="s">
        <v>13</v>
      </c>
      <c r="C116" t="str">
        <f t="shared" ref="C116:C141" si="5">IF(B116="Chhattisgarh","CT",0)</f>
        <v>CT</v>
      </c>
      <c r="D116" t="s">
        <v>157</v>
      </c>
      <c r="E116" t="s">
        <v>767</v>
      </c>
      <c r="F116" t="s">
        <v>767</v>
      </c>
      <c r="G116" t="s">
        <v>767</v>
      </c>
      <c r="H116">
        <v>21.5731848</v>
      </c>
      <c r="I116" s="7">
        <v>82.299482100000006</v>
      </c>
      <c r="J116">
        <v>0</v>
      </c>
      <c r="K116" s="5"/>
    </row>
    <row r="117" spans="1:14" x14ac:dyDescent="0.3">
      <c r="A117" t="s">
        <v>784</v>
      </c>
      <c r="B117" t="s">
        <v>13</v>
      </c>
      <c r="C117" t="str">
        <f t="shared" si="5"/>
        <v>CT</v>
      </c>
      <c r="D117" t="s">
        <v>158</v>
      </c>
      <c r="E117" t="s">
        <v>767</v>
      </c>
      <c r="F117" t="s">
        <v>767</v>
      </c>
      <c r="G117" t="s">
        <v>767</v>
      </c>
      <c r="H117">
        <v>23.628257600000001</v>
      </c>
      <c r="I117" s="7">
        <v>83.481091599999999</v>
      </c>
      <c r="J117">
        <v>0</v>
      </c>
      <c r="K117" s="5"/>
    </row>
    <row r="118" spans="1:14" x14ac:dyDescent="0.3">
      <c r="A118" t="s">
        <v>784</v>
      </c>
      <c r="B118" t="s">
        <v>13</v>
      </c>
      <c r="C118" t="str">
        <f t="shared" si="5"/>
        <v>CT</v>
      </c>
      <c r="D118" t="s">
        <v>159</v>
      </c>
      <c r="E118" t="s">
        <v>767</v>
      </c>
      <c r="F118" t="s">
        <v>767</v>
      </c>
      <c r="G118" t="s">
        <v>767</v>
      </c>
      <c r="H118">
        <v>19.170000000000002</v>
      </c>
      <c r="I118">
        <v>81.5</v>
      </c>
      <c r="J118">
        <v>0</v>
      </c>
      <c r="K118" s="5"/>
    </row>
    <row r="119" spans="1:14" x14ac:dyDescent="0.3">
      <c r="A119" t="s">
        <v>784</v>
      </c>
      <c r="B119" t="s">
        <v>13</v>
      </c>
      <c r="C119" t="str">
        <f t="shared" si="5"/>
        <v>CT</v>
      </c>
      <c r="D119" t="s">
        <v>160</v>
      </c>
      <c r="E119" t="s">
        <v>767</v>
      </c>
      <c r="F119" t="s">
        <v>767</v>
      </c>
      <c r="G119" t="s">
        <v>767</v>
      </c>
      <c r="H119">
        <v>21.678386700000001</v>
      </c>
      <c r="I119" s="7">
        <v>81.441257800000002</v>
      </c>
      <c r="J119">
        <v>0</v>
      </c>
      <c r="K119" s="5"/>
    </row>
    <row r="120" spans="1:14" x14ac:dyDescent="0.3">
      <c r="A120" t="s">
        <v>784</v>
      </c>
      <c r="B120" t="s">
        <v>13</v>
      </c>
      <c r="C120" t="str">
        <f t="shared" si="5"/>
        <v>CT</v>
      </c>
      <c r="D120" t="s">
        <v>161</v>
      </c>
      <c r="E120" t="s">
        <v>767</v>
      </c>
      <c r="F120" t="s">
        <v>767</v>
      </c>
      <c r="G120" t="s">
        <v>767</v>
      </c>
      <c r="H120">
        <v>18.793567899999999</v>
      </c>
      <c r="I120" s="7">
        <v>80.815939</v>
      </c>
      <c r="J120" t="s">
        <v>1051</v>
      </c>
      <c r="K120" s="5" t="s">
        <v>836</v>
      </c>
      <c r="L120" t="s">
        <v>794</v>
      </c>
      <c r="M120">
        <f>IF(L120=C120,1,0)</f>
        <v>0</v>
      </c>
      <c r="N120" t="s">
        <v>1023</v>
      </c>
    </row>
    <row r="121" spans="1:14" x14ac:dyDescent="0.3">
      <c r="A121" t="s">
        <v>784</v>
      </c>
      <c r="B121" t="s">
        <v>13</v>
      </c>
      <c r="C121" t="str">
        <f t="shared" si="5"/>
        <v>CT</v>
      </c>
      <c r="D121" t="s">
        <v>162</v>
      </c>
      <c r="E121" t="s">
        <v>767</v>
      </c>
      <c r="F121" t="s">
        <v>767</v>
      </c>
      <c r="G121" t="s">
        <v>767</v>
      </c>
      <c r="H121">
        <v>22.08</v>
      </c>
      <c r="I121">
        <v>82.22</v>
      </c>
      <c r="J121" t="s">
        <v>1052</v>
      </c>
      <c r="K121" s="6" t="s">
        <v>837</v>
      </c>
      <c r="L121" t="s">
        <v>791</v>
      </c>
      <c r="M121">
        <f>IF(L121=C121,1,0)</f>
        <v>0</v>
      </c>
      <c r="N121" t="s">
        <v>1026</v>
      </c>
    </row>
    <row r="122" spans="1:14" x14ac:dyDescent="0.3">
      <c r="A122" t="s">
        <v>784</v>
      </c>
      <c r="B122" t="s">
        <v>13</v>
      </c>
      <c r="C122" t="str">
        <f t="shared" si="5"/>
        <v>CT</v>
      </c>
      <c r="D122" t="s">
        <v>163</v>
      </c>
      <c r="E122" t="s">
        <v>764</v>
      </c>
      <c r="F122" t="s">
        <v>764</v>
      </c>
      <c r="G122" t="s">
        <v>764</v>
      </c>
      <c r="H122">
        <v>19.600000000000001</v>
      </c>
      <c r="I122">
        <v>81.67</v>
      </c>
      <c r="J122">
        <v>0</v>
      </c>
      <c r="K122" s="5"/>
    </row>
    <row r="123" spans="1:14" x14ac:dyDescent="0.3">
      <c r="A123" t="s">
        <v>784</v>
      </c>
      <c r="B123" t="s">
        <v>13</v>
      </c>
      <c r="C123" t="str">
        <f t="shared" si="5"/>
        <v>CT</v>
      </c>
      <c r="D123" t="s">
        <v>164</v>
      </c>
      <c r="E123" t="s">
        <v>767</v>
      </c>
      <c r="F123" t="s">
        <v>767</v>
      </c>
      <c r="G123" t="s">
        <v>767</v>
      </c>
      <c r="H123">
        <v>20.7</v>
      </c>
      <c r="I123">
        <v>81.569999999999993</v>
      </c>
      <c r="J123">
        <v>0</v>
      </c>
      <c r="K123" s="5"/>
    </row>
    <row r="124" spans="1:14" x14ac:dyDescent="0.3">
      <c r="A124" t="s">
        <v>784</v>
      </c>
      <c r="B124" t="s">
        <v>13</v>
      </c>
      <c r="C124" t="str">
        <f t="shared" si="5"/>
        <v>CT</v>
      </c>
      <c r="D124" t="s">
        <v>165</v>
      </c>
      <c r="E124" t="s">
        <v>767</v>
      </c>
      <c r="F124" t="s">
        <v>767</v>
      </c>
      <c r="G124" t="s">
        <v>767</v>
      </c>
      <c r="H124">
        <v>21.18</v>
      </c>
      <c r="I124">
        <v>81.349999999999994</v>
      </c>
      <c r="J124" t="s">
        <v>1053</v>
      </c>
      <c r="K124" s="5" t="s">
        <v>838</v>
      </c>
      <c r="L124" t="s">
        <v>1022</v>
      </c>
      <c r="M124">
        <f>IF(L124=C124,1,0)</f>
        <v>1</v>
      </c>
    </row>
    <row r="125" spans="1:14" x14ac:dyDescent="0.3">
      <c r="A125" t="s">
        <v>784</v>
      </c>
      <c r="B125" t="s">
        <v>13</v>
      </c>
      <c r="C125" t="str">
        <f t="shared" si="5"/>
        <v>CT</v>
      </c>
      <c r="D125" t="s">
        <v>166</v>
      </c>
      <c r="E125" t="s">
        <v>767</v>
      </c>
      <c r="F125" t="s">
        <v>767</v>
      </c>
      <c r="G125" t="s">
        <v>767</v>
      </c>
      <c r="H125">
        <v>20.429214699999999</v>
      </c>
      <c r="I125" s="7">
        <v>82.252558399999998</v>
      </c>
      <c r="J125">
        <v>0</v>
      </c>
      <c r="K125" s="5"/>
    </row>
    <row r="126" spans="1:14" x14ac:dyDescent="0.3">
      <c r="A126" t="s">
        <v>784</v>
      </c>
      <c r="B126" t="s">
        <v>13</v>
      </c>
      <c r="C126" t="str">
        <f t="shared" si="5"/>
        <v>CT</v>
      </c>
      <c r="D126" t="s">
        <v>167</v>
      </c>
      <c r="E126" t="s">
        <v>767</v>
      </c>
      <c r="F126" t="s">
        <v>767</v>
      </c>
      <c r="G126" t="s">
        <v>767</v>
      </c>
      <c r="H126">
        <v>22.03</v>
      </c>
      <c r="I126">
        <v>84.72</v>
      </c>
      <c r="J126">
        <v>0</v>
      </c>
      <c r="K126" s="5"/>
    </row>
    <row r="127" spans="1:14" x14ac:dyDescent="0.3">
      <c r="A127" t="s">
        <v>784</v>
      </c>
      <c r="B127" t="s">
        <v>13</v>
      </c>
      <c r="C127" t="str">
        <f t="shared" si="5"/>
        <v>CT</v>
      </c>
      <c r="D127" t="s">
        <v>168</v>
      </c>
      <c r="E127" t="s">
        <v>767</v>
      </c>
      <c r="F127" t="s">
        <v>767</v>
      </c>
      <c r="G127" t="s">
        <v>767</v>
      </c>
      <c r="H127">
        <v>22.88</v>
      </c>
      <c r="I127">
        <v>84.2</v>
      </c>
      <c r="J127" t="s">
        <v>1054</v>
      </c>
      <c r="K127" s="5" t="s">
        <v>839</v>
      </c>
      <c r="L127" t="s">
        <v>1022</v>
      </c>
      <c r="M127">
        <f>IF(L127=C127,1,0)</f>
        <v>1</v>
      </c>
    </row>
    <row r="128" spans="1:14" x14ac:dyDescent="0.3">
      <c r="A128" t="s">
        <v>784</v>
      </c>
      <c r="B128" t="s">
        <v>13</v>
      </c>
      <c r="C128" t="str">
        <f t="shared" si="5"/>
        <v>CT</v>
      </c>
      <c r="D128" t="s">
        <v>169</v>
      </c>
      <c r="E128" t="s">
        <v>767</v>
      </c>
      <c r="F128" t="s">
        <v>767</v>
      </c>
      <c r="G128" t="s">
        <v>767</v>
      </c>
      <c r="H128">
        <v>22.115008499999998</v>
      </c>
      <c r="I128" s="7">
        <v>81.2446944</v>
      </c>
      <c r="J128">
        <v>0</v>
      </c>
      <c r="K128" s="5"/>
    </row>
    <row r="129" spans="1:13" x14ac:dyDescent="0.3">
      <c r="A129" t="s">
        <v>784</v>
      </c>
      <c r="B129" t="s">
        <v>13</v>
      </c>
      <c r="C129" t="str">
        <f t="shared" si="5"/>
        <v>CT</v>
      </c>
      <c r="D129" t="s">
        <v>170</v>
      </c>
      <c r="E129" t="s">
        <v>767</v>
      </c>
      <c r="F129" t="s">
        <v>767</v>
      </c>
      <c r="G129" t="s">
        <v>767</v>
      </c>
      <c r="H129">
        <v>20.25</v>
      </c>
      <c r="I129">
        <v>81.53</v>
      </c>
      <c r="J129">
        <v>0</v>
      </c>
      <c r="K129" s="5"/>
    </row>
    <row r="130" spans="1:13" x14ac:dyDescent="0.3">
      <c r="A130" t="s">
        <v>784</v>
      </c>
      <c r="B130" t="s">
        <v>13</v>
      </c>
      <c r="C130" t="str">
        <f t="shared" si="5"/>
        <v>CT</v>
      </c>
      <c r="D130" t="s">
        <v>171</v>
      </c>
      <c r="E130" t="s">
        <v>767</v>
      </c>
      <c r="F130" t="s">
        <v>767</v>
      </c>
      <c r="G130" t="s">
        <v>767</v>
      </c>
      <c r="H130">
        <v>19.5885769</v>
      </c>
      <c r="I130" s="7">
        <v>81.662874200000005</v>
      </c>
      <c r="J130">
        <v>0</v>
      </c>
      <c r="K130" s="5"/>
    </row>
    <row r="131" spans="1:13" x14ac:dyDescent="0.3">
      <c r="A131" t="s">
        <v>784</v>
      </c>
      <c r="B131" t="s">
        <v>13</v>
      </c>
      <c r="C131" t="str">
        <f t="shared" si="5"/>
        <v>CT</v>
      </c>
      <c r="D131" t="s">
        <v>172</v>
      </c>
      <c r="E131" t="s">
        <v>767</v>
      </c>
      <c r="F131" t="s">
        <v>767</v>
      </c>
      <c r="G131" t="s">
        <v>767</v>
      </c>
      <c r="H131">
        <v>22.33</v>
      </c>
      <c r="I131">
        <v>82.7</v>
      </c>
      <c r="J131">
        <v>0</v>
      </c>
      <c r="K131" s="5"/>
    </row>
    <row r="132" spans="1:13" x14ac:dyDescent="0.3">
      <c r="A132" t="s">
        <v>784</v>
      </c>
      <c r="B132" t="s">
        <v>13</v>
      </c>
      <c r="C132" t="str">
        <f t="shared" si="5"/>
        <v>CT</v>
      </c>
      <c r="D132" t="s">
        <v>173</v>
      </c>
      <c r="E132" t="s">
        <v>767</v>
      </c>
      <c r="F132" t="s">
        <v>767</v>
      </c>
      <c r="G132" t="s">
        <v>767</v>
      </c>
      <c r="H132">
        <v>23.25</v>
      </c>
      <c r="I132">
        <v>84.6</v>
      </c>
      <c r="J132">
        <v>0</v>
      </c>
      <c r="K132" s="5"/>
    </row>
    <row r="133" spans="1:13" x14ac:dyDescent="0.3">
      <c r="A133" t="s">
        <v>784</v>
      </c>
      <c r="B133" t="s">
        <v>13</v>
      </c>
      <c r="C133" t="str">
        <f t="shared" si="5"/>
        <v>CT</v>
      </c>
      <c r="D133" t="s">
        <v>174</v>
      </c>
      <c r="E133" t="s">
        <v>767</v>
      </c>
      <c r="F133" t="s">
        <v>767</v>
      </c>
      <c r="G133" t="s">
        <v>767</v>
      </c>
      <c r="H133">
        <v>21.52</v>
      </c>
      <c r="I133">
        <v>83.25</v>
      </c>
      <c r="J133">
        <v>0</v>
      </c>
      <c r="K133" s="5"/>
    </row>
    <row r="134" spans="1:13" x14ac:dyDescent="0.3">
      <c r="A134" t="s">
        <v>784</v>
      </c>
      <c r="B134" t="s">
        <v>13</v>
      </c>
      <c r="C134" t="str">
        <f t="shared" si="5"/>
        <v>CT</v>
      </c>
      <c r="D134" t="s">
        <v>175</v>
      </c>
      <c r="E134" t="s">
        <v>767</v>
      </c>
      <c r="F134" t="s">
        <v>767</v>
      </c>
      <c r="G134" t="s">
        <v>767</v>
      </c>
      <c r="H134">
        <v>22.0661098</v>
      </c>
      <c r="I134" s="7">
        <v>81.687428199999999</v>
      </c>
      <c r="J134">
        <v>0</v>
      </c>
      <c r="K134" s="5"/>
    </row>
    <row r="135" spans="1:13" x14ac:dyDescent="0.3">
      <c r="A135" t="s">
        <v>784</v>
      </c>
      <c r="B135" t="s">
        <v>13</v>
      </c>
      <c r="C135" t="str">
        <f t="shared" si="5"/>
        <v>CT</v>
      </c>
      <c r="D135" t="s">
        <v>176</v>
      </c>
      <c r="E135" t="s">
        <v>767</v>
      </c>
      <c r="F135" t="s">
        <v>767</v>
      </c>
      <c r="G135" t="s">
        <v>767</v>
      </c>
      <c r="H135">
        <v>19.584203200000001</v>
      </c>
      <c r="I135" s="7">
        <v>81.113698600000006</v>
      </c>
      <c r="J135">
        <v>0</v>
      </c>
      <c r="K135" s="5"/>
    </row>
    <row r="136" spans="1:13" x14ac:dyDescent="0.3">
      <c r="A136" t="s">
        <v>784</v>
      </c>
      <c r="B136" t="s">
        <v>13</v>
      </c>
      <c r="C136" t="str">
        <f t="shared" si="5"/>
        <v>CT</v>
      </c>
      <c r="D136" t="s">
        <v>177</v>
      </c>
      <c r="E136" t="s">
        <v>767</v>
      </c>
      <c r="F136" t="s">
        <v>767</v>
      </c>
      <c r="G136" t="s">
        <v>767</v>
      </c>
      <c r="H136">
        <v>21.9</v>
      </c>
      <c r="I136">
        <v>83.4</v>
      </c>
      <c r="J136" t="s">
        <v>1055</v>
      </c>
      <c r="K136" s="5" t="s">
        <v>840</v>
      </c>
      <c r="L136" t="s">
        <v>1022</v>
      </c>
      <c r="M136">
        <f>IF(L136=C136,1,0)</f>
        <v>1</v>
      </c>
    </row>
    <row r="137" spans="1:13" x14ac:dyDescent="0.3">
      <c r="A137" t="s">
        <v>784</v>
      </c>
      <c r="B137" t="s">
        <v>13</v>
      </c>
      <c r="C137" t="str">
        <f t="shared" si="5"/>
        <v>CT</v>
      </c>
      <c r="D137" t="s">
        <v>178</v>
      </c>
      <c r="E137" t="s">
        <v>767</v>
      </c>
      <c r="F137" t="s">
        <v>767</v>
      </c>
      <c r="G137" t="s">
        <v>767</v>
      </c>
      <c r="H137">
        <v>21.25</v>
      </c>
      <c r="I137">
        <v>81.680000000000007</v>
      </c>
      <c r="J137" t="s">
        <v>1056</v>
      </c>
      <c r="K137" s="5" t="s">
        <v>841</v>
      </c>
      <c r="L137" t="s">
        <v>1022</v>
      </c>
      <c r="M137">
        <f>IF(L137=C137,1,0)</f>
        <v>1</v>
      </c>
    </row>
    <row r="138" spans="1:13" x14ac:dyDescent="0.3">
      <c r="A138" t="s">
        <v>784</v>
      </c>
      <c r="B138" t="s">
        <v>13</v>
      </c>
      <c r="C138" t="str">
        <f t="shared" si="5"/>
        <v>CT</v>
      </c>
      <c r="D138" t="s">
        <v>179</v>
      </c>
      <c r="E138" t="s">
        <v>767</v>
      </c>
      <c r="F138" t="s">
        <v>767</v>
      </c>
      <c r="G138" t="s">
        <v>767</v>
      </c>
      <c r="H138">
        <v>21.08</v>
      </c>
      <c r="I138">
        <v>81.08</v>
      </c>
      <c r="J138" t="s">
        <v>1057</v>
      </c>
      <c r="K138" s="5" t="s">
        <v>842</v>
      </c>
      <c r="L138" t="s">
        <v>1022</v>
      </c>
      <c r="M138">
        <f>IF(L138=C138,1,0)</f>
        <v>1</v>
      </c>
    </row>
    <row r="139" spans="1:13" x14ac:dyDescent="0.3">
      <c r="A139" t="s">
        <v>784</v>
      </c>
      <c r="B139" t="s">
        <v>13</v>
      </c>
      <c r="C139" t="str">
        <f t="shared" si="5"/>
        <v>CT</v>
      </c>
      <c r="D139" t="s">
        <v>180</v>
      </c>
      <c r="E139" t="s">
        <v>767</v>
      </c>
      <c r="F139" t="s">
        <v>767</v>
      </c>
      <c r="G139" t="s">
        <v>767</v>
      </c>
      <c r="H139">
        <v>18.266542300000001</v>
      </c>
      <c r="I139" s="7">
        <v>81.292523399999993</v>
      </c>
      <c r="J139">
        <v>0</v>
      </c>
      <c r="K139" s="5"/>
    </row>
    <row r="140" spans="1:13" x14ac:dyDescent="0.3">
      <c r="A140" t="s">
        <v>784</v>
      </c>
      <c r="B140" t="s">
        <v>13</v>
      </c>
      <c r="C140" t="str">
        <f t="shared" si="5"/>
        <v>CT</v>
      </c>
      <c r="D140" t="s">
        <v>181</v>
      </c>
      <c r="E140" t="s">
        <v>767</v>
      </c>
      <c r="F140" t="s">
        <v>767</v>
      </c>
      <c r="G140" t="s">
        <v>767</v>
      </c>
      <c r="H140">
        <v>23.357776900000001</v>
      </c>
      <c r="I140" s="7">
        <v>82.976127700000006</v>
      </c>
      <c r="J140">
        <v>0</v>
      </c>
      <c r="K140" s="5"/>
    </row>
    <row r="141" spans="1:13" x14ac:dyDescent="0.3">
      <c r="A141" t="s">
        <v>784</v>
      </c>
      <c r="B141" t="s">
        <v>13</v>
      </c>
      <c r="C141" t="str">
        <f t="shared" si="5"/>
        <v>CT</v>
      </c>
      <c r="D141" t="s">
        <v>182</v>
      </c>
      <c r="E141" t="s">
        <v>767</v>
      </c>
      <c r="F141" t="s">
        <v>767</v>
      </c>
      <c r="G141" t="s">
        <v>767</v>
      </c>
      <c r="H141">
        <v>24.1</v>
      </c>
      <c r="I141">
        <v>84.07</v>
      </c>
      <c r="J141">
        <v>0</v>
      </c>
      <c r="K141" s="5"/>
    </row>
    <row r="142" spans="1:13" x14ac:dyDescent="0.3">
      <c r="A142" t="s">
        <v>784</v>
      </c>
      <c r="B142" t="s">
        <v>14</v>
      </c>
      <c r="C142" t="s">
        <v>785</v>
      </c>
      <c r="D142" t="s">
        <v>14</v>
      </c>
      <c r="E142" t="s">
        <v>764</v>
      </c>
      <c r="F142" t="s">
        <v>764</v>
      </c>
      <c r="G142" t="s">
        <v>764</v>
      </c>
      <c r="H142">
        <v>20.233792000000001</v>
      </c>
      <c r="I142" s="7">
        <v>73.049517300000005</v>
      </c>
      <c r="J142">
        <v>0</v>
      </c>
      <c r="K142" s="5"/>
    </row>
    <row r="143" spans="1:13" x14ac:dyDescent="0.3">
      <c r="A143" t="s">
        <v>784</v>
      </c>
      <c r="B143" t="s">
        <v>15</v>
      </c>
      <c r="C143" t="s">
        <v>786</v>
      </c>
      <c r="D143" t="s">
        <v>183</v>
      </c>
      <c r="E143" t="s">
        <v>764</v>
      </c>
      <c r="F143" t="s">
        <v>764</v>
      </c>
      <c r="G143" t="s">
        <v>764</v>
      </c>
      <c r="H143">
        <v>20.4169701</v>
      </c>
      <c r="I143" s="7">
        <v>72.833173000000002</v>
      </c>
      <c r="J143" t="s">
        <v>1058</v>
      </c>
      <c r="K143" s="5" t="s">
        <v>843</v>
      </c>
      <c r="L143" t="s">
        <v>786</v>
      </c>
      <c r="M143">
        <f>IF(L143=C143,1,0)</f>
        <v>1</v>
      </c>
    </row>
    <row r="144" spans="1:13" x14ac:dyDescent="0.3">
      <c r="A144" t="s">
        <v>784</v>
      </c>
      <c r="B144" t="s">
        <v>15</v>
      </c>
      <c r="C144" t="s">
        <v>786</v>
      </c>
      <c r="D144" t="s">
        <v>184</v>
      </c>
      <c r="E144" t="s">
        <v>764</v>
      </c>
      <c r="F144" t="s">
        <v>764</v>
      </c>
      <c r="G144" t="s">
        <v>764</v>
      </c>
      <c r="H144">
        <v>20.7260366</v>
      </c>
      <c r="I144" s="7">
        <v>70.984358299999997</v>
      </c>
      <c r="J144" t="s">
        <v>1059</v>
      </c>
      <c r="K144" s="5" t="s">
        <v>844</v>
      </c>
      <c r="L144" t="s">
        <v>786</v>
      </c>
      <c r="M144">
        <f>IF(L144=C144,1,0)</f>
        <v>1</v>
      </c>
    </row>
    <row r="145" spans="1:13" x14ac:dyDescent="0.3">
      <c r="A145" t="s">
        <v>784</v>
      </c>
      <c r="B145" t="s">
        <v>16</v>
      </c>
      <c r="C145" t="s">
        <v>787</v>
      </c>
      <c r="D145" t="s">
        <v>185</v>
      </c>
      <c r="E145" t="s">
        <v>767</v>
      </c>
      <c r="F145" t="s">
        <v>767</v>
      </c>
      <c r="G145" t="s">
        <v>767</v>
      </c>
      <c r="H145">
        <v>28.85</v>
      </c>
      <c r="I145">
        <v>77.42</v>
      </c>
      <c r="J145" t="s">
        <v>1060</v>
      </c>
      <c r="K145" s="5"/>
    </row>
    <row r="146" spans="1:13" x14ac:dyDescent="0.3">
      <c r="A146" t="s">
        <v>784</v>
      </c>
      <c r="B146" t="s">
        <v>16</v>
      </c>
      <c r="C146" t="s">
        <v>787</v>
      </c>
      <c r="D146" t="s">
        <v>186</v>
      </c>
      <c r="E146" t="s">
        <v>767</v>
      </c>
      <c r="F146" t="s">
        <v>767</v>
      </c>
      <c r="G146" t="s">
        <v>767</v>
      </c>
      <c r="H146">
        <v>28.62</v>
      </c>
      <c r="I146">
        <v>77.22</v>
      </c>
      <c r="J146" t="s">
        <v>1060</v>
      </c>
      <c r="K146" s="5"/>
    </row>
    <row r="147" spans="1:13" x14ac:dyDescent="0.3">
      <c r="A147" t="s">
        <v>784</v>
      </c>
      <c r="B147" t="s">
        <v>16</v>
      </c>
      <c r="C147" t="s">
        <v>787</v>
      </c>
      <c r="D147" t="s">
        <v>187</v>
      </c>
      <c r="E147" t="s">
        <v>767</v>
      </c>
      <c r="F147" t="s">
        <v>767</v>
      </c>
      <c r="G147" t="s">
        <v>767</v>
      </c>
      <c r="H147">
        <v>28.6</v>
      </c>
      <c r="I147">
        <v>77.2</v>
      </c>
      <c r="J147" t="s">
        <v>1060</v>
      </c>
      <c r="K147" s="5" t="s">
        <v>845</v>
      </c>
      <c r="L147" t="s">
        <v>787</v>
      </c>
      <c r="M147">
        <f>IF(L147=C147,1,0)</f>
        <v>1</v>
      </c>
    </row>
    <row r="148" spans="1:13" x14ac:dyDescent="0.3">
      <c r="A148" t="s">
        <v>784</v>
      </c>
      <c r="B148" t="s">
        <v>16</v>
      </c>
      <c r="C148" t="s">
        <v>787</v>
      </c>
      <c r="D148" t="s">
        <v>188</v>
      </c>
      <c r="E148" t="s">
        <v>767</v>
      </c>
      <c r="F148" t="s">
        <v>767</v>
      </c>
      <c r="G148" t="s">
        <v>767</v>
      </c>
      <c r="H148">
        <v>29.05</v>
      </c>
      <c r="I148">
        <v>77.37</v>
      </c>
      <c r="J148" t="s">
        <v>1239</v>
      </c>
      <c r="K148" s="5"/>
    </row>
    <row r="149" spans="1:13" x14ac:dyDescent="0.3">
      <c r="A149" t="s">
        <v>784</v>
      </c>
      <c r="B149" t="s">
        <v>16</v>
      </c>
      <c r="C149" t="s">
        <v>787</v>
      </c>
      <c r="D149" t="s">
        <v>189</v>
      </c>
      <c r="E149" t="s">
        <v>767</v>
      </c>
      <c r="F149" t="s">
        <v>767</v>
      </c>
      <c r="G149" t="s">
        <v>767</v>
      </c>
      <c r="H149">
        <v>28.723307999999999</v>
      </c>
      <c r="I149" s="7">
        <v>77.266856500000003</v>
      </c>
      <c r="J149" t="s">
        <v>1060</v>
      </c>
      <c r="K149" s="5"/>
    </row>
    <row r="150" spans="1:13" x14ac:dyDescent="0.3">
      <c r="A150" t="s">
        <v>784</v>
      </c>
      <c r="B150" t="s">
        <v>16</v>
      </c>
      <c r="C150" t="s">
        <v>787</v>
      </c>
      <c r="D150" t="s">
        <v>190</v>
      </c>
      <c r="E150" t="s">
        <v>767</v>
      </c>
      <c r="F150" t="s">
        <v>767</v>
      </c>
      <c r="G150" t="s">
        <v>767</v>
      </c>
      <c r="H150">
        <v>28.63</v>
      </c>
      <c r="I150">
        <v>77.22</v>
      </c>
      <c r="J150" t="s">
        <v>1060</v>
      </c>
      <c r="K150" s="5"/>
    </row>
    <row r="151" spans="1:13" x14ac:dyDescent="0.3">
      <c r="A151" t="s">
        <v>784</v>
      </c>
      <c r="B151" t="s">
        <v>16</v>
      </c>
      <c r="C151" t="s">
        <v>787</v>
      </c>
      <c r="D151" t="s">
        <v>191</v>
      </c>
      <c r="E151" t="s">
        <v>767</v>
      </c>
      <c r="F151" t="s">
        <v>767</v>
      </c>
      <c r="G151" t="s">
        <v>767</v>
      </c>
      <c r="H151">
        <v>28.6758661</v>
      </c>
      <c r="I151" s="7">
        <v>77.298507799999996</v>
      </c>
      <c r="J151" t="s">
        <v>1060</v>
      </c>
      <c r="K151" s="5"/>
    </row>
    <row r="152" spans="1:13" x14ac:dyDescent="0.3">
      <c r="A152" t="s">
        <v>784</v>
      </c>
      <c r="B152" t="s">
        <v>16</v>
      </c>
      <c r="C152" t="s">
        <v>787</v>
      </c>
      <c r="D152" t="s">
        <v>192</v>
      </c>
      <c r="E152" t="s">
        <v>767</v>
      </c>
      <c r="F152" t="s">
        <v>767</v>
      </c>
      <c r="G152" t="s">
        <v>767</v>
      </c>
      <c r="H152">
        <v>28.63</v>
      </c>
      <c r="I152">
        <v>77.22</v>
      </c>
      <c r="J152" t="s">
        <v>1060</v>
      </c>
      <c r="K152" s="5"/>
    </row>
    <row r="153" spans="1:13" x14ac:dyDescent="0.3">
      <c r="A153" t="s">
        <v>784</v>
      </c>
      <c r="B153" t="s">
        <v>16</v>
      </c>
      <c r="C153" t="s">
        <v>787</v>
      </c>
      <c r="D153" t="s">
        <v>193</v>
      </c>
      <c r="E153" t="s">
        <v>767</v>
      </c>
      <c r="F153" t="s">
        <v>767</v>
      </c>
      <c r="G153" t="s">
        <v>767</v>
      </c>
      <c r="H153">
        <v>28.544894599999999</v>
      </c>
      <c r="I153" s="7">
        <v>77.272328400000006</v>
      </c>
      <c r="J153" t="s">
        <v>1060</v>
      </c>
      <c r="K153" s="5"/>
    </row>
    <row r="154" spans="1:13" x14ac:dyDescent="0.3">
      <c r="A154" t="s">
        <v>784</v>
      </c>
      <c r="B154" t="s">
        <v>16</v>
      </c>
      <c r="C154" t="s">
        <v>787</v>
      </c>
      <c r="D154" t="s">
        <v>194</v>
      </c>
      <c r="E154" t="s">
        <v>767</v>
      </c>
      <c r="F154" t="s">
        <v>767</v>
      </c>
      <c r="G154" t="s">
        <v>767</v>
      </c>
      <c r="H154">
        <v>28.63</v>
      </c>
      <c r="I154">
        <v>77.22</v>
      </c>
      <c r="J154" t="s">
        <v>1060</v>
      </c>
      <c r="K154" s="5"/>
    </row>
    <row r="155" spans="1:13" x14ac:dyDescent="0.3">
      <c r="A155" t="s">
        <v>784</v>
      </c>
      <c r="B155" t="s">
        <v>16</v>
      </c>
      <c r="C155" t="s">
        <v>787</v>
      </c>
      <c r="D155" t="s">
        <v>195</v>
      </c>
      <c r="E155" t="s">
        <v>767</v>
      </c>
      <c r="F155" t="s">
        <v>767</v>
      </c>
      <c r="G155" t="s">
        <v>767</v>
      </c>
      <c r="H155">
        <v>42.28</v>
      </c>
      <c r="I155">
        <v>75</v>
      </c>
      <c r="J155" t="s">
        <v>1060</v>
      </c>
      <c r="K155" s="5"/>
    </row>
    <row r="156" spans="1:13" x14ac:dyDescent="0.3">
      <c r="A156" t="s">
        <v>784</v>
      </c>
      <c r="B156" t="s">
        <v>17</v>
      </c>
      <c r="C156" t="s">
        <v>788</v>
      </c>
      <c r="D156" t="s">
        <v>196</v>
      </c>
      <c r="E156" t="s">
        <v>764</v>
      </c>
      <c r="F156" t="s">
        <v>764</v>
      </c>
      <c r="G156" t="s">
        <v>764</v>
      </c>
      <c r="H156">
        <v>15.6044413</v>
      </c>
      <c r="I156" s="7">
        <v>74.001724100000004</v>
      </c>
      <c r="J156">
        <v>0</v>
      </c>
      <c r="K156" s="5"/>
    </row>
    <row r="157" spans="1:13" x14ac:dyDescent="0.3">
      <c r="A157" t="s">
        <v>784</v>
      </c>
      <c r="B157" t="s">
        <v>17</v>
      </c>
      <c r="C157" t="s">
        <v>788</v>
      </c>
      <c r="D157" t="s">
        <v>197</v>
      </c>
      <c r="E157" t="s">
        <v>764</v>
      </c>
      <c r="F157" t="s">
        <v>764</v>
      </c>
      <c r="G157" t="s">
        <v>764</v>
      </c>
      <c r="H157">
        <v>15.42</v>
      </c>
      <c r="I157">
        <v>73.72</v>
      </c>
      <c r="J157">
        <v>0</v>
      </c>
      <c r="K157" s="5"/>
    </row>
    <row r="158" spans="1:13" x14ac:dyDescent="0.3">
      <c r="A158" t="s">
        <v>784</v>
      </c>
      <c r="B158" t="s">
        <v>18</v>
      </c>
      <c r="C158" t="s">
        <v>789</v>
      </c>
      <c r="D158" t="s">
        <v>198</v>
      </c>
      <c r="E158" t="s">
        <v>769</v>
      </c>
      <c r="F158" t="s">
        <v>769</v>
      </c>
      <c r="G158" t="s">
        <v>769</v>
      </c>
      <c r="H158">
        <v>23.05</v>
      </c>
      <c r="I158">
        <v>72.67</v>
      </c>
      <c r="J158" t="s">
        <v>1061</v>
      </c>
      <c r="K158" s="5" t="s">
        <v>846</v>
      </c>
      <c r="L158" t="s">
        <v>789</v>
      </c>
      <c r="M158">
        <f>IF(L158=C158,1,0)</f>
        <v>1</v>
      </c>
    </row>
    <row r="159" spans="1:13" x14ac:dyDescent="0.3">
      <c r="A159" t="s">
        <v>784</v>
      </c>
      <c r="B159" t="s">
        <v>18</v>
      </c>
      <c r="C159" t="s">
        <v>789</v>
      </c>
      <c r="D159" t="s">
        <v>199</v>
      </c>
      <c r="E159" t="s">
        <v>767</v>
      </c>
      <c r="F159" t="s">
        <v>767</v>
      </c>
      <c r="G159" t="s">
        <v>767</v>
      </c>
      <c r="H159">
        <v>21.6</v>
      </c>
      <c r="I159">
        <v>71.25</v>
      </c>
      <c r="J159" t="s">
        <v>1062</v>
      </c>
      <c r="K159" s="5" t="s">
        <v>847</v>
      </c>
      <c r="L159" t="s">
        <v>789</v>
      </c>
      <c r="M159">
        <f>IF(L159=C159,1,0)</f>
        <v>1</v>
      </c>
    </row>
    <row r="160" spans="1:13" x14ac:dyDescent="0.3">
      <c r="A160" t="s">
        <v>784</v>
      </c>
      <c r="B160" t="s">
        <v>18</v>
      </c>
      <c r="C160" t="s">
        <v>789</v>
      </c>
      <c r="D160" t="s">
        <v>200</v>
      </c>
      <c r="E160" t="s">
        <v>764</v>
      </c>
      <c r="F160" t="s">
        <v>764</v>
      </c>
      <c r="G160" t="s">
        <v>764</v>
      </c>
      <c r="H160">
        <v>22.53</v>
      </c>
      <c r="I160">
        <v>73</v>
      </c>
      <c r="J160">
        <v>0</v>
      </c>
      <c r="K160" s="5"/>
    </row>
    <row r="161" spans="1:13" x14ac:dyDescent="0.3">
      <c r="A161" t="s">
        <v>784</v>
      </c>
      <c r="B161" t="s">
        <v>18</v>
      </c>
      <c r="C161" t="s">
        <v>789</v>
      </c>
      <c r="D161" t="s">
        <v>201</v>
      </c>
      <c r="E161" t="s">
        <v>764</v>
      </c>
      <c r="F161" t="s">
        <v>764</v>
      </c>
      <c r="G161" t="s">
        <v>764</v>
      </c>
      <c r="H161">
        <v>23.484321699999999</v>
      </c>
      <c r="I161" s="7">
        <v>73.3986096</v>
      </c>
      <c r="J161">
        <v>0</v>
      </c>
      <c r="K161" s="5"/>
    </row>
    <row r="162" spans="1:13" x14ac:dyDescent="0.3">
      <c r="A162" t="s">
        <v>784</v>
      </c>
      <c r="B162" t="s">
        <v>18</v>
      </c>
      <c r="C162" t="s">
        <v>789</v>
      </c>
      <c r="D162" t="s">
        <v>202</v>
      </c>
      <c r="E162" t="s">
        <v>764</v>
      </c>
      <c r="F162" t="s">
        <v>764</v>
      </c>
      <c r="G162" t="s">
        <v>764</v>
      </c>
      <c r="H162">
        <v>24.2</v>
      </c>
      <c r="I162">
        <v>72.47</v>
      </c>
      <c r="J162">
        <v>0</v>
      </c>
      <c r="K162" s="5"/>
    </row>
    <row r="163" spans="1:13" x14ac:dyDescent="0.3">
      <c r="A163" t="s">
        <v>784</v>
      </c>
      <c r="B163" t="s">
        <v>18</v>
      </c>
      <c r="C163" t="s">
        <v>789</v>
      </c>
      <c r="D163" t="s">
        <v>203</v>
      </c>
      <c r="E163" t="s">
        <v>764</v>
      </c>
      <c r="F163" t="s">
        <v>764</v>
      </c>
      <c r="G163" t="s">
        <v>764</v>
      </c>
      <c r="H163">
        <v>21.68</v>
      </c>
      <c r="I163">
        <v>73.02</v>
      </c>
      <c r="J163">
        <v>0</v>
      </c>
      <c r="K163" s="5"/>
    </row>
    <row r="164" spans="1:13" x14ac:dyDescent="0.3">
      <c r="A164" t="s">
        <v>784</v>
      </c>
      <c r="B164" t="s">
        <v>18</v>
      </c>
      <c r="C164" t="s">
        <v>789</v>
      </c>
      <c r="D164" t="s">
        <v>204</v>
      </c>
      <c r="E164" t="s">
        <v>767</v>
      </c>
      <c r="F164" t="s">
        <v>767</v>
      </c>
      <c r="G164" t="s">
        <v>767</v>
      </c>
      <c r="H164">
        <v>21.77</v>
      </c>
      <c r="I164">
        <v>72.180000000000007</v>
      </c>
      <c r="J164" t="s">
        <v>1063</v>
      </c>
      <c r="K164" s="5" t="s">
        <v>848</v>
      </c>
      <c r="L164" t="s">
        <v>789</v>
      </c>
      <c r="M164">
        <f>IF(L164=C164,1,0)</f>
        <v>1</v>
      </c>
    </row>
    <row r="165" spans="1:13" x14ac:dyDescent="0.3">
      <c r="A165" t="s">
        <v>784</v>
      </c>
      <c r="B165" t="s">
        <v>18</v>
      </c>
      <c r="C165" t="s">
        <v>789</v>
      </c>
      <c r="D165" t="s">
        <v>205</v>
      </c>
      <c r="E165" t="s">
        <v>764</v>
      </c>
      <c r="F165" t="s">
        <v>764</v>
      </c>
      <c r="G165" t="s">
        <v>764</v>
      </c>
      <c r="H165">
        <v>22.046709799999999</v>
      </c>
      <c r="I165" s="7">
        <v>71.668961699999997</v>
      </c>
      <c r="J165">
        <v>0</v>
      </c>
      <c r="K165" s="5"/>
    </row>
    <row r="166" spans="1:13" x14ac:dyDescent="0.3">
      <c r="A166" t="s">
        <v>784</v>
      </c>
      <c r="B166" t="s">
        <v>18</v>
      </c>
      <c r="C166" t="s">
        <v>789</v>
      </c>
      <c r="D166" t="s">
        <v>206</v>
      </c>
      <c r="E166" t="s">
        <v>764</v>
      </c>
      <c r="F166" t="s">
        <v>764</v>
      </c>
      <c r="G166" t="s">
        <v>764</v>
      </c>
      <c r="H166">
        <v>22.222434499999999</v>
      </c>
      <c r="I166" s="7">
        <v>73.7778749</v>
      </c>
      <c r="J166">
        <v>0</v>
      </c>
      <c r="K166" s="5"/>
    </row>
    <row r="167" spans="1:13" x14ac:dyDescent="0.3">
      <c r="A167" t="s">
        <v>784</v>
      </c>
      <c r="B167" t="s">
        <v>18</v>
      </c>
      <c r="C167" t="s">
        <v>789</v>
      </c>
      <c r="D167" t="s">
        <v>207</v>
      </c>
      <c r="E167" t="s">
        <v>764</v>
      </c>
      <c r="F167" t="s">
        <v>764</v>
      </c>
      <c r="G167" t="s">
        <v>764</v>
      </c>
      <c r="H167">
        <v>22.88</v>
      </c>
      <c r="I167">
        <v>74.319999999999993</v>
      </c>
      <c r="J167">
        <v>0</v>
      </c>
      <c r="K167" s="5"/>
    </row>
    <row r="168" spans="1:13" x14ac:dyDescent="0.3">
      <c r="A168" t="s">
        <v>784</v>
      </c>
      <c r="B168" t="s">
        <v>18</v>
      </c>
      <c r="C168" t="s">
        <v>789</v>
      </c>
      <c r="D168" t="s">
        <v>208</v>
      </c>
      <c r="E168" t="s">
        <v>764</v>
      </c>
      <c r="F168" t="s">
        <v>764</v>
      </c>
      <c r="G168" t="s">
        <v>764</v>
      </c>
      <c r="H168">
        <v>20.82</v>
      </c>
      <c r="I168">
        <v>73.75</v>
      </c>
      <c r="J168">
        <v>0</v>
      </c>
      <c r="K168" s="5"/>
    </row>
    <row r="169" spans="1:13" x14ac:dyDescent="0.3">
      <c r="A169" t="s">
        <v>784</v>
      </c>
      <c r="B169" t="s">
        <v>18</v>
      </c>
      <c r="C169" t="s">
        <v>789</v>
      </c>
      <c r="D169" t="s">
        <v>209</v>
      </c>
      <c r="E169" t="s">
        <v>764</v>
      </c>
      <c r="F169" t="s">
        <v>764</v>
      </c>
      <c r="G169" t="s">
        <v>764</v>
      </c>
      <c r="H169">
        <v>22.243100699999999</v>
      </c>
      <c r="I169" s="7">
        <v>68.960593399999993</v>
      </c>
      <c r="J169">
        <v>0</v>
      </c>
      <c r="K169" s="5"/>
    </row>
    <row r="170" spans="1:13" x14ac:dyDescent="0.3">
      <c r="A170" t="s">
        <v>784</v>
      </c>
      <c r="B170" t="s">
        <v>18</v>
      </c>
      <c r="C170" t="s">
        <v>789</v>
      </c>
      <c r="D170" t="s">
        <v>210</v>
      </c>
      <c r="E170" t="s">
        <v>764</v>
      </c>
      <c r="F170" t="s">
        <v>764</v>
      </c>
      <c r="G170" t="s">
        <v>764</v>
      </c>
      <c r="H170">
        <v>23.27</v>
      </c>
      <c r="I170">
        <v>73.83</v>
      </c>
      <c r="J170" t="s">
        <v>1064</v>
      </c>
      <c r="K170" s="5" t="s">
        <v>849</v>
      </c>
      <c r="L170" t="s">
        <v>789</v>
      </c>
      <c r="M170">
        <f>IF(L170=C170,1,0)</f>
        <v>1</v>
      </c>
    </row>
    <row r="171" spans="1:13" x14ac:dyDescent="0.3">
      <c r="A171" t="s">
        <v>784</v>
      </c>
      <c r="B171" t="s">
        <v>18</v>
      </c>
      <c r="C171" t="s">
        <v>789</v>
      </c>
      <c r="D171" t="s">
        <v>211</v>
      </c>
      <c r="E171" t="s">
        <v>764</v>
      </c>
      <c r="F171" t="s">
        <v>764</v>
      </c>
      <c r="G171" t="s">
        <v>764</v>
      </c>
      <c r="H171">
        <v>20.929818099999999</v>
      </c>
      <c r="I171" s="7">
        <v>70.762757800000003</v>
      </c>
      <c r="J171">
        <v>0</v>
      </c>
      <c r="K171" s="5"/>
    </row>
    <row r="172" spans="1:13" x14ac:dyDescent="0.3">
      <c r="A172" t="s">
        <v>784</v>
      </c>
      <c r="B172" t="s">
        <v>18</v>
      </c>
      <c r="C172" t="s">
        <v>789</v>
      </c>
      <c r="D172" t="s">
        <v>212</v>
      </c>
      <c r="E172" t="s">
        <v>764</v>
      </c>
      <c r="F172" t="s">
        <v>764</v>
      </c>
      <c r="G172" t="s">
        <v>764</v>
      </c>
      <c r="H172">
        <v>22.45</v>
      </c>
      <c r="I172">
        <v>70.12</v>
      </c>
      <c r="J172">
        <v>0</v>
      </c>
      <c r="K172" s="5"/>
    </row>
    <row r="173" spans="1:13" x14ac:dyDescent="0.3">
      <c r="A173" t="s">
        <v>784</v>
      </c>
      <c r="B173" t="s">
        <v>18</v>
      </c>
      <c r="C173" t="s">
        <v>789</v>
      </c>
      <c r="D173" t="s">
        <v>213</v>
      </c>
      <c r="E173" t="s">
        <v>764</v>
      </c>
      <c r="F173" t="s">
        <v>764</v>
      </c>
      <c r="G173" t="s">
        <v>764</v>
      </c>
      <c r="H173">
        <v>21.52</v>
      </c>
      <c r="I173">
        <v>70.599999999999994</v>
      </c>
      <c r="J173">
        <v>0</v>
      </c>
      <c r="K173" s="5"/>
    </row>
    <row r="174" spans="1:13" x14ac:dyDescent="0.3">
      <c r="A174" t="s">
        <v>784</v>
      </c>
      <c r="B174" t="s">
        <v>18</v>
      </c>
      <c r="C174" t="s">
        <v>789</v>
      </c>
      <c r="D174" t="s">
        <v>214</v>
      </c>
      <c r="E174" t="s">
        <v>764</v>
      </c>
      <c r="F174" t="s">
        <v>764</v>
      </c>
      <c r="G174" t="s">
        <v>764</v>
      </c>
      <c r="H174">
        <v>22.75</v>
      </c>
      <c r="I174">
        <v>72.75</v>
      </c>
      <c r="J174">
        <v>0</v>
      </c>
      <c r="K174" s="5"/>
    </row>
    <row r="175" spans="1:13" x14ac:dyDescent="0.3">
      <c r="A175" t="s">
        <v>784</v>
      </c>
      <c r="B175" t="s">
        <v>18</v>
      </c>
      <c r="C175" t="s">
        <v>789</v>
      </c>
      <c r="D175" t="s">
        <v>215</v>
      </c>
      <c r="E175" t="s">
        <v>770</v>
      </c>
      <c r="F175" t="s">
        <v>764</v>
      </c>
      <c r="G175" t="s">
        <v>770</v>
      </c>
      <c r="H175">
        <v>23.25</v>
      </c>
      <c r="I175">
        <v>69.819999999999993</v>
      </c>
      <c r="J175">
        <v>0</v>
      </c>
      <c r="K175" s="5"/>
    </row>
    <row r="176" spans="1:13" x14ac:dyDescent="0.3">
      <c r="A176" t="s">
        <v>784</v>
      </c>
      <c r="B176" t="s">
        <v>18</v>
      </c>
      <c r="C176" t="s">
        <v>789</v>
      </c>
      <c r="D176" t="s">
        <v>216</v>
      </c>
      <c r="E176" t="s">
        <v>769</v>
      </c>
      <c r="F176" t="s">
        <v>769</v>
      </c>
      <c r="G176" t="s">
        <v>769</v>
      </c>
      <c r="H176">
        <v>23.191219499999999</v>
      </c>
      <c r="I176" s="7">
        <v>73.664439799999997</v>
      </c>
      <c r="J176">
        <v>0</v>
      </c>
      <c r="K176" s="5"/>
    </row>
    <row r="177" spans="1:13" x14ac:dyDescent="0.3">
      <c r="A177" t="s">
        <v>784</v>
      </c>
      <c r="B177" t="s">
        <v>18</v>
      </c>
      <c r="C177" t="s">
        <v>789</v>
      </c>
      <c r="D177" t="s">
        <v>217</v>
      </c>
      <c r="E177" t="s">
        <v>769</v>
      </c>
      <c r="F177" t="s">
        <v>769</v>
      </c>
      <c r="G177" t="s">
        <v>769</v>
      </c>
      <c r="H177">
        <v>23.7</v>
      </c>
      <c r="I177">
        <v>72.62</v>
      </c>
      <c r="J177">
        <v>0</v>
      </c>
      <c r="K177" s="5"/>
    </row>
    <row r="178" spans="1:13" x14ac:dyDescent="0.3">
      <c r="A178" t="s">
        <v>784</v>
      </c>
      <c r="B178" t="s">
        <v>18</v>
      </c>
      <c r="C178" t="s">
        <v>789</v>
      </c>
      <c r="D178" t="s">
        <v>218</v>
      </c>
      <c r="E178" t="s">
        <v>767</v>
      </c>
      <c r="F178" t="s">
        <v>767</v>
      </c>
      <c r="G178" t="s">
        <v>767</v>
      </c>
      <c r="H178">
        <v>22.800395900000002</v>
      </c>
      <c r="I178" s="7">
        <v>70.886232000000007</v>
      </c>
      <c r="J178">
        <v>0</v>
      </c>
      <c r="K178" s="5"/>
    </row>
    <row r="179" spans="1:13" x14ac:dyDescent="0.3">
      <c r="A179" t="s">
        <v>784</v>
      </c>
      <c r="B179" t="s">
        <v>18</v>
      </c>
      <c r="C179" t="s">
        <v>789</v>
      </c>
      <c r="D179" t="s">
        <v>219</v>
      </c>
      <c r="E179" t="s">
        <v>769</v>
      </c>
      <c r="F179" t="s">
        <v>769</v>
      </c>
      <c r="G179" t="s">
        <v>769</v>
      </c>
      <c r="H179">
        <v>21.73</v>
      </c>
      <c r="I179">
        <v>73.599999999999994</v>
      </c>
      <c r="J179">
        <v>0</v>
      </c>
      <c r="K179" s="5"/>
    </row>
    <row r="180" spans="1:13" x14ac:dyDescent="0.3">
      <c r="A180" t="s">
        <v>784</v>
      </c>
      <c r="B180" t="s">
        <v>18</v>
      </c>
      <c r="C180" t="s">
        <v>789</v>
      </c>
      <c r="D180" t="s">
        <v>220</v>
      </c>
      <c r="E180" t="s">
        <v>769</v>
      </c>
      <c r="F180" t="s">
        <v>769</v>
      </c>
      <c r="G180" t="s">
        <v>769</v>
      </c>
      <c r="H180">
        <v>21.12</v>
      </c>
      <c r="I180">
        <v>73.67</v>
      </c>
      <c r="J180">
        <v>0</v>
      </c>
      <c r="K180" s="5"/>
    </row>
    <row r="181" spans="1:13" x14ac:dyDescent="0.3">
      <c r="A181" t="s">
        <v>784</v>
      </c>
      <c r="B181" t="s">
        <v>18</v>
      </c>
      <c r="C181" t="s">
        <v>789</v>
      </c>
      <c r="D181" t="s">
        <v>221</v>
      </c>
      <c r="E181" t="s">
        <v>769</v>
      </c>
      <c r="F181" t="s">
        <v>769</v>
      </c>
      <c r="G181" t="s">
        <v>769</v>
      </c>
      <c r="H181">
        <v>22.75</v>
      </c>
      <c r="I181">
        <v>73.67</v>
      </c>
      <c r="J181">
        <v>0</v>
      </c>
      <c r="K181" s="5"/>
    </row>
    <row r="182" spans="1:13" x14ac:dyDescent="0.3">
      <c r="A182" t="s">
        <v>784</v>
      </c>
      <c r="B182" t="s">
        <v>18</v>
      </c>
      <c r="C182" t="s">
        <v>789</v>
      </c>
      <c r="D182" t="s">
        <v>222</v>
      </c>
      <c r="E182" t="s">
        <v>769</v>
      </c>
      <c r="F182" t="s">
        <v>769</v>
      </c>
      <c r="G182" t="s">
        <v>769</v>
      </c>
      <c r="H182">
        <v>23.87</v>
      </c>
      <c r="I182">
        <v>72.02</v>
      </c>
      <c r="J182">
        <v>0</v>
      </c>
      <c r="K182" s="5"/>
    </row>
    <row r="183" spans="1:13" x14ac:dyDescent="0.3">
      <c r="A183" t="s">
        <v>784</v>
      </c>
      <c r="B183" t="s">
        <v>18</v>
      </c>
      <c r="C183" t="s">
        <v>789</v>
      </c>
      <c r="D183" t="s">
        <v>223</v>
      </c>
      <c r="E183" t="s">
        <v>764</v>
      </c>
      <c r="F183" t="s">
        <v>764</v>
      </c>
      <c r="G183" t="s">
        <v>764</v>
      </c>
      <c r="H183">
        <v>21.62</v>
      </c>
      <c r="I183">
        <v>69.819999999999993</v>
      </c>
      <c r="J183" t="s">
        <v>1065</v>
      </c>
      <c r="K183" s="5" t="s">
        <v>850</v>
      </c>
      <c r="L183" t="s">
        <v>789</v>
      </c>
      <c r="M183">
        <f>IF(L183=C183,1,0)</f>
        <v>1</v>
      </c>
    </row>
    <row r="184" spans="1:13" x14ac:dyDescent="0.3">
      <c r="A184" t="s">
        <v>784</v>
      </c>
      <c r="B184" t="s">
        <v>18</v>
      </c>
      <c r="C184" t="s">
        <v>789</v>
      </c>
      <c r="D184" t="s">
        <v>224</v>
      </c>
      <c r="E184" t="s">
        <v>767</v>
      </c>
      <c r="F184" t="s">
        <v>767</v>
      </c>
      <c r="G184" t="s">
        <v>767</v>
      </c>
      <c r="H184">
        <v>22.3</v>
      </c>
      <c r="I184">
        <v>70.930000000000007</v>
      </c>
      <c r="J184" t="s">
        <v>1066</v>
      </c>
      <c r="K184" s="5" t="s">
        <v>851</v>
      </c>
      <c r="L184" t="s">
        <v>789</v>
      </c>
      <c r="M184">
        <f>IF(L184=C184,1,0)</f>
        <v>1</v>
      </c>
    </row>
    <row r="185" spans="1:13" x14ac:dyDescent="0.3">
      <c r="A185" t="s">
        <v>784</v>
      </c>
      <c r="B185" t="s">
        <v>18</v>
      </c>
      <c r="C185" t="s">
        <v>789</v>
      </c>
      <c r="D185" t="s">
        <v>225</v>
      </c>
      <c r="E185" t="s">
        <v>769</v>
      </c>
      <c r="F185" t="s">
        <v>769</v>
      </c>
      <c r="G185" t="s">
        <v>769</v>
      </c>
      <c r="H185">
        <v>23.7</v>
      </c>
      <c r="I185">
        <v>73.03</v>
      </c>
      <c r="J185">
        <v>0</v>
      </c>
      <c r="K185" s="5"/>
    </row>
    <row r="186" spans="1:13" x14ac:dyDescent="0.3">
      <c r="A186" t="s">
        <v>784</v>
      </c>
      <c r="B186" t="s">
        <v>18</v>
      </c>
      <c r="C186" t="s">
        <v>789</v>
      </c>
      <c r="D186" t="s">
        <v>226</v>
      </c>
      <c r="E186" t="s">
        <v>769</v>
      </c>
      <c r="F186" t="s">
        <v>769</v>
      </c>
      <c r="G186" t="s">
        <v>769</v>
      </c>
      <c r="H186">
        <v>21.05</v>
      </c>
      <c r="I186">
        <v>73.38</v>
      </c>
      <c r="J186" t="s">
        <v>1067</v>
      </c>
      <c r="K186" s="5" t="s">
        <v>852</v>
      </c>
      <c r="L186" t="s">
        <v>789</v>
      </c>
      <c r="M186">
        <f>IF(L186=C186,1,0)</f>
        <v>1</v>
      </c>
    </row>
    <row r="187" spans="1:13" x14ac:dyDescent="0.3">
      <c r="A187" t="s">
        <v>784</v>
      </c>
      <c r="B187" t="s">
        <v>18</v>
      </c>
      <c r="C187" t="s">
        <v>789</v>
      </c>
      <c r="D187" t="s">
        <v>227</v>
      </c>
      <c r="E187" t="s">
        <v>769</v>
      </c>
      <c r="F187" t="s">
        <v>769</v>
      </c>
      <c r="G187" t="s">
        <v>769</v>
      </c>
      <c r="H187">
        <v>22.72</v>
      </c>
      <c r="I187">
        <v>71.72</v>
      </c>
      <c r="J187" t="s">
        <v>1068</v>
      </c>
      <c r="K187" s="5" t="s">
        <v>853</v>
      </c>
      <c r="L187" t="s">
        <v>789</v>
      </c>
      <c r="M187">
        <f>IF(L187=C187,1,0)</f>
        <v>1</v>
      </c>
    </row>
    <row r="188" spans="1:13" x14ac:dyDescent="0.3">
      <c r="A188" t="s">
        <v>784</v>
      </c>
      <c r="B188" t="s">
        <v>18</v>
      </c>
      <c r="C188" t="s">
        <v>789</v>
      </c>
      <c r="D188" t="s">
        <v>228</v>
      </c>
      <c r="E188" t="s">
        <v>769</v>
      </c>
      <c r="F188" t="s">
        <v>769</v>
      </c>
      <c r="G188" t="s">
        <v>769</v>
      </c>
      <c r="H188">
        <v>21.191656699999999</v>
      </c>
      <c r="I188" s="7">
        <v>73.556063100000003</v>
      </c>
      <c r="J188">
        <v>0</v>
      </c>
      <c r="K188" s="5"/>
    </row>
    <row r="189" spans="1:13" x14ac:dyDescent="0.3">
      <c r="A189" t="s">
        <v>784</v>
      </c>
      <c r="B189" t="s">
        <v>18</v>
      </c>
      <c r="C189" t="s">
        <v>789</v>
      </c>
      <c r="D189" t="s">
        <v>229</v>
      </c>
      <c r="E189" t="s">
        <v>769</v>
      </c>
      <c r="F189" t="s">
        <v>769</v>
      </c>
      <c r="G189" t="s">
        <v>769</v>
      </c>
      <c r="H189">
        <v>22.15</v>
      </c>
      <c r="I189">
        <v>73.72</v>
      </c>
      <c r="J189">
        <v>0</v>
      </c>
      <c r="K189" s="5"/>
    </row>
    <row r="190" spans="1:13" x14ac:dyDescent="0.3">
      <c r="A190" t="s">
        <v>784</v>
      </c>
      <c r="B190" t="s">
        <v>18</v>
      </c>
      <c r="C190" t="s">
        <v>789</v>
      </c>
      <c r="D190" t="s">
        <v>230</v>
      </c>
      <c r="E190" t="s">
        <v>769</v>
      </c>
      <c r="F190" t="s">
        <v>769</v>
      </c>
      <c r="G190" t="s">
        <v>769</v>
      </c>
      <c r="H190">
        <v>20.47</v>
      </c>
      <c r="I190">
        <v>73.12</v>
      </c>
      <c r="J190">
        <v>0</v>
      </c>
      <c r="K190" s="5"/>
    </row>
    <row r="191" spans="1:13" x14ac:dyDescent="0.3">
      <c r="A191" t="s">
        <v>784</v>
      </c>
      <c r="B191" t="s">
        <v>19</v>
      </c>
      <c r="C191" t="s">
        <v>790</v>
      </c>
      <c r="D191" t="s">
        <v>231</v>
      </c>
      <c r="E191" t="s">
        <v>767</v>
      </c>
      <c r="F191" t="s">
        <v>767</v>
      </c>
      <c r="G191" t="s">
        <v>767</v>
      </c>
      <c r="H191">
        <v>30.35</v>
      </c>
      <c r="I191">
        <v>76.87</v>
      </c>
      <c r="J191" t="s">
        <v>1069</v>
      </c>
      <c r="K191" s="5" t="s">
        <v>854</v>
      </c>
      <c r="L191" t="s">
        <v>790</v>
      </c>
      <c r="M191">
        <f>IF(L191=C191,1,0)</f>
        <v>1</v>
      </c>
    </row>
    <row r="192" spans="1:13" x14ac:dyDescent="0.3">
      <c r="A192" t="s">
        <v>784</v>
      </c>
      <c r="B192" t="s">
        <v>19</v>
      </c>
      <c r="C192" t="s">
        <v>790</v>
      </c>
      <c r="D192" t="s">
        <v>232</v>
      </c>
      <c r="E192" t="s">
        <v>767</v>
      </c>
      <c r="F192" t="s">
        <v>767</v>
      </c>
      <c r="G192" t="s">
        <v>767</v>
      </c>
      <c r="H192">
        <v>28.77</v>
      </c>
      <c r="I192">
        <v>76.3</v>
      </c>
      <c r="J192">
        <v>0</v>
      </c>
      <c r="K192" s="5"/>
    </row>
    <row r="193" spans="1:13" x14ac:dyDescent="0.3">
      <c r="A193" t="s">
        <v>784</v>
      </c>
      <c r="B193" t="s">
        <v>19</v>
      </c>
      <c r="C193" t="s">
        <v>790</v>
      </c>
      <c r="D193" t="s">
        <v>233</v>
      </c>
      <c r="E193" t="s">
        <v>767</v>
      </c>
      <c r="F193" t="s">
        <v>767</v>
      </c>
      <c r="G193" t="s">
        <v>767</v>
      </c>
      <c r="H193">
        <v>28.600099700000001</v>
      </c>
      <c r="I193" s="7">
        <v>76.1123707</v>
      </c>
      <c r="J193">
        <v>0</v>
      </c>
      <c r="K193" s="5"/>
    </row>
    <row r="194" spans="1:13" x14ac:dyDescent="0.3">
      <c r="A194" t="s">
        <v>784</v>
      </c>
      <c r="B194" t="s">
        <v>19</v>
      </c>
      <c r="C194" t="s">
        <v>790</v>
      </c>
      <c r="D194" t="s">
        <v>234</v>
      </c>
      <c r="E194" t="s">
        <v>767</v>
      </c>
      <c r="F194" t="s">
        <v>767</v>
      </c>
      <c r="G194" t="s">
        <v>767</v>
      </c>
      <c r="H194">
        <v>28.42</v>
      </c>
      <c r="I194">
        <v>77.37</v>
      </c>
      <c r="J194">
        <v>0</v>
      </c>
      <c r="K194" s="5"/>
    </row>
    <row r="195" spans="1:13" x14ac:dyDescent="0.3">
      <c r="A195" t="s">
        <v>784</v>
      </c>
      <c r="B195" t="s">
        <v>19</v>
      </c>
      <c r="C195" t="s">
        <v>790</v>
      </c>
      <c r="D195" t="s">
        <v>235</v>
      </c>
      <c r="E195" t="s">
        <v>767</v>
      </c>
      <c r="F195" t="s">
        <v>767</v>
      </c>
      <c r="G195" t="s">
        <v>767</v>
      </c>
      <c r="H195">
        <v>29.52</v>
      </c>
      <c r="I195">
        <v>75.5</v>
      </c>
      <c r="J195">
        <v>0</v>
      </c>
      <c r="K195" s="5"/>
    </row>
    <row r="196" spans="1:13" x14ac:dyDescent="0.3">
      <c r="A196" t="s">
        <v>784</v>
      </c>
      <c r="B196" t="s">
        <v>19</v>
      </c>
      <c r="C196" t="s">
        <v>790</v>
      </c>
      <c r="D196" t="s">
        <v>236</v>
      </c>
      <c r="E196" t="s">
        <v>767</v>
      </c>
      <c r="F196" t="s">
        <v>767</v>
      </c>
      <c r="G196" t="s">
        <v>767</v>
      </c>
      <c r="H196">
        <v>28.62</v>
      </c>
      <c r="I196">
        <v>77.069999999999993</v>
      </c>
      <c r="J196">
        <v>0</v>
      </c>
      <c r="K196" s="5"/>
    </row>
    <row r="197" spans="1:13" x14ac:dyDescent="0.3">
      <c r="A197" t="s">
        <v>784</v>
      </c>
      <c r="B197" t="s">
        <v>19</v>
      </c>
      <c r="C197" t="s">
        <v>790</v>
      </c>
      <c r="D197" t="s">
        <v>237</v>
      </c>
      <c r="E197" t="s">
        <v>767</v>
      </c>
      <c r="F197" t="s">
        <v>767</v>
      </c>
      <c r="G197" t="s">
        <v>767</v>
      </c>
      <c r="H197">
        <v>29.17</v>
      </c>
      <c r="I197">
        <v>75.77</v>
      </c>
      <c r="J197">
        <v>0</v>
      </c>
      <c r="K197" s="5"/>
    </row>
    <row r="198" spans="1:13" x14ac:dyDescent="0.3">
      <c r="A198" t="s">
        <v>784</v>
      </c>
      <c r="B198" t="s">
        <v>19</v>
      </c>
      <c r="C198" t="s">
        <v>790</v>
      </c>
      <c r="D198" t="s">
        <v>238</v>
      </c>
      <c r="E198" t="s">
        <v>767</v>
      </c>
      <c r="F198" t="s">
        <v>767</v>
      </c>
      <c r="G198" t="s">
        <v>767</v>
      </c>
      <c r="H198">
        <v>28.6</v>
      </c>
      <c r="I198">
        <v>76.63</v>
      </c>
      <c r="J198">
        <v>0</v>
      </c>
      <c r="K198" s="5"/>
    </row>
    <row r="199" spans="1:13" x14ac:dyDescent="0.3">
      <c r="A199" t="s">
        <v>784</v>
      </c>
      <c r="B199" t="s">
        <v>19</v>
      </c>
      <c r="C199" t="s">
        <v>790</v>
      </c>
      <c r="D199" t="s">
        <v>239</v>
      </c>
      <c r="E199" t="s">
        <v>767</v>
      </c>
      <c r="F199" t="s">
        <v>767</v>
      </c>
      <c r="G199" t="s">
        <v>767</v>
      </c>
      <c r="H199">
        <v>29.32</v>
      </c>
      <c r="I199">
        <v>76.38</v>
      </c>
      <c r="J199">
        <v>0</v>
      </c>
      <c r="K199" s="5"/>
    </row>
    <row r="200" spans="1:13" x14ac:dyDescent="0.3">
      <c r="A200" t="s">
        <v>784</v>
      </c>
      <c r="B200" t="s">
        <v>19</v>
      </c>
      <c r="C200" t="s">
        <v>790</v>
      </c>
      <c r="D200" t="s">
        <v>240</v>
      </c>
      <c r="E200" t="s">
        <v>767</v>
      </c>
      <c r="F200" t="s">
        <v>767</v>
      </c>
      <c r="G200" t="s">
        <v>767</v>
      </c>
      <c r="H200">
        <v>29.8</v>
      </c>
      <c r="I200">
        <v>78.430000000000007</v>
      </c>
      <c r="J200">
        <v>0</v>
      </c>
      <c r="K200" s="5"/>
    </row>
    <row r="201" spans="1:13" x14ac:dyDescent="0.3">
      <c r="A201" t="s">
        <v>784</v>
      </c>
      <c r="B201" t="s">
        <v>19</v>
      </c>
      <c r="C201" t="s">
        <v>790</v>
      </c>
      <c r="D201" t="s">
        <v>241</v>
      </c>
      <c r="E201" t="s">
        <v>767</v>
      </c>
      <c r="F201" t="s">
        <v>767</v>
      </c>
      <c r="G201" t="s">
        <v>767</v>
      </c>
      <c r="H201">
        <v>29.7</v>
      </c>
      <c r="I201">
        <v>77.03</v>
      </c>
      <c r="J201" t="s">
        <v>1070</v>
      </c>
      <c r="K201" s="5" t="s">
        <v>855</v>
      </c>
      <c r="L201" t="s">
        <v>790</v>
      </c>
      <c r="M201">
        <f>IF(L201=C201,1,0)</f>
        <v>1</v>
      </c>
    </row>
    <row r="202" spans="1:13" x14ac:dyDescent="0.3">
      <c r="A202" t="s">
        <v>784</v>
      </c>
      <c r="B202" t="s">
        <v>19</v>
      </c>
      <c r="C202" t="s">
        <v>790</v>
      </c>
      <c r="D202" t="s">
        <v>242</v>
      </c>
      <c r="E202" t="s">
        <v>767</v>
      </c>
      <c r="F202" t="s">
        <v>767</v>
      </c>
      <c r="G202" t="s">
        <v>767</v>
      </c>
      <c r="H202">
        <v>30.07</v>
      </c>
      <c r="I202">
        <v>76.819999999999993</v>
      </c>
      <c r="J202">
        <v>0</v>
      </c>
      <c r="K202" s="5"/>
    </row>
    <row r="203" spans="1:13" x14ac:dyDescent="0.3">
      <c r="A203" t="s">
        <v>784</v>
      </c>
      <c r="B203" t="s">
        <v>19</v>
      </c>
      <c r="C203" t="s">
        <v>790</v>
      </c>
      <c r="D203" t="s">
        <v>243</v>
      </c>
      <c r="E203" t="s">
        <v>767</v>
      </c>
      <c r="F203" t="s">
        <v>767</v>
      </c>
      <c r="G203" t="s">
        <v>767</v>
      </c>
      <c r="H203">
        <v>28.13</v>
      </c>
      <c r="I203">
        <v>76.150000000000006</v>
      </c>
      <c r="J203">
        <v>0</v>
      </c>
      <c r="K203" s="5"/>
    </row>
    <row r="204" spans="1:13" x14ac:dyDescent="0.3">
      <c r="A204" t="s">
        <v>784</v>
      </c>
      <c r="B204" t="s">
        <v>19</v>
      </c>
      <c r="C204" t="s">
        <v>790</v>
      </c>
      <c r="D204" t="s">
        <v>244</v>
      </c>
      <c r="E204" t="s">
        <v>767</v>
      </c>
      <c r="F204" t="s">
        <v>767</v>
      </c>
      <c r="G204" t="s">
        <v>767</v>
      </c>
      <c r="H204">
        <v>27.9</v>
      </c>
      <c r="I204">
        <v>77.17</v>
      </c>
      <c r="J204">
        <v>0</v>
      </c>
      <c r="K204" s="5"/>
    </row>
    <row r="205" spans="1:13" x14ac:dyDescent="0.3">
      <c r="A205" t="s">
        <v>784</v>
      </c>
      <c r="B205" t="s">
        <v>19</v>
      </c>
      <c r="C205" t="s">
        <v>790</v>
      </c>
      <c r="D205" t="s">
        <v>245</v>
      </c>
      <c r="E205" t="s">
        <v>767</v>
      </c>
      <c r="F205" t="s">
        <v>767</v>
      </c>
      <c r="G205" t="s">
        <v>767</v>
      </c>
      <c r="H205">
        <v>28.42</v>
      </c>
      <c r="I205">
        <v>77.3</v>
      </c>
      <c r="J205">
        <v>0</v>
      </c>
      <c r="K205" s="5"/>
    </row>
    <row r="206" spans="1:13" x14ac:dyDescent="0.3">
      <c r="A206" t="s">
        <v>784</v>
      </c>
      <c r="B206" t="s">
        <v>19</v>
      </c>
      <c r="C206" t="s">
        <v>790</v>
      </c>
      <c r="D206" t="s">
        <v>246</v>
      </c>
      <c r="E206" t="s">
        <v>767</v>
      </c>
      <c r="F206" t="s">
        <v>767</v>
      </c>
      <c r="G206" t="s">
        <v>767</v>
      </c>
      <c r="H206">
        <v>30.67</v>
      </c>
      <c r="I206">
        <v>76.98</v>
      </c>
      <c r="J206">
        <v>0</v>
      </c>
      <c r="K206" s="5"/>
    </row>
    <row r="207" spans="1:13" x14ac:dyDescent="0.3">
      <c r="A207" t="s">
        <v>784</v>
      </c>
      <c r="B207" t="s">
        <v>19</v>
      </c>
      <c r="C207" t="s">
        <v>790</v>
      </c>
      <c r="D207" t="s">
        <v>247</v>
      </c>
      <c r="E207" t="s">
        <v>767</v>
      </c>
      <c r="F207" t="s">
        <v>767</v>
      </c>
      <c r="G207" t="s">
        <v>767</v>
      </c>
      <c r="H207">
        <v>29.35</v>
      </c>
      <c r="I207">
        <v>76.92</v>
      </c>
      <c r="J207">
        <v>0</v>
      </c>
      <c r="K207" s="5"/>
    </row>
    <row r="208" spans="1:13" x14ac:dyDescent="0.3">
      <c r="A208" t="s">
        <v>784</v>
      </c>
      <c r="B208" t="s">
        <v>19</v>
      </c>
      <c r="C208" t="s">
        <v>790</v>
      </c>
      <c r="D208" t="s">
        <v>248</v>
      </c>
      <c r="E208" t="s">
        <v>767</v>
      </c>
      <c r="F208" t="s">
        <v>767</v>
      </c>
      <c r="G208" t="s">
        <v>767</v>
      </c>
      <c r="H208">
        <v>28.2</v>
      </c>
      <c r="J208">
        <v>0</v>
      </c>
      <c r="K208" s="5"/>
    </row>
    <row r="209" spans="1:13" x14ac:dyDescent="0.3">
      <c r="A209" t="s">
        <v>784</v>
      </c>
      <c r="B209" t="s">
        <v>19</v>
      </c>
      <c r="C209" t="s">
        <v>790</v>
      </c>
      <c r="D209" t="s">
        <v>249</v>
      </c>
      <c r="E209" t="s">
        <v>767</v>
      </c>
      <c r="F209" t="s">
        <v>767</v>
      </c>
      <c r="G209" t="s">
        <v>767</v>
      </c>
      <c r="H209">
        <v>28.9</v>
      </c>
      <c r="I209">
        <v>76.63</v>
      </c>
      <c r="J209" t="s">
        <v>1071</v>
      </c>
      <c r="K209" s="5" t="s">
        <v>856</v>
      </c>
      <c r="L209" t="s">
        <v>790</v>
      </c>
      <c r="M209">
        <f>IF(L209=C209,1,0)</f>
        <v>1</v>
      </c>
    </row>
    <row r="210" spans="1:13" x14ac:dyDescent="0.3">
      <c r="A210" t="s">
        <v>784</v>
      </c>
      <c r="B210" t="s">
        <v>19</v>
      </c>
      <c r="C210" t="s">
        <v>790</v>
      </c>
      <c r="D210" t="s">
        <v>250</v>
      </c>
      <c r="E210" t="s">
        <v>767</v>
      </c>
      <c r="F210" t="s">
        <v>767</v>
      </c>
      <c r="G210" t="s">
        <v>767</v>
      </c>
      <c r="H210">
        <v>29.63</v>
      </c>
      <c r="I210">
        <v>74.92</v>
      </c>
      <c r="J210">
        <v>0</v>
      </c>
      <c r="K210" s="5"/>
    </row>
    <row r="211" spans="1:13" x14ac:dyDescent="0.3">
      <c r="A211" t="s">
        <v>784</v>
      </c>
      <c r="B211" t="s">
        <v>19</v>
      </c>
      <c r="C211" t="s">
        <v>790</v>
      </c>
      <c r="D211" t="s">
        <v>251</v>
      </c>
      <c r="E211" t="s">
        <v>767</v>
      </c>
      <c r="F211" t="s">
        <v>767</v>
      </c>
      <c r="G211" t="s">
        <v>767</v>
      </c>
      <c r="H211">
        <v>29.15</v>
      </c>
      <c r="I211">
        <v>77.069999999999993</v>
      </c>
      <c r="J211">
        <v>0</v>
      </c>
      <c r="K211" s="5"/>
    </row>
    <row r="212" spans="1:13" x14ac:dyDescent="0.3">
      <c r="A212" t="s">
        <v>784</v>
      </c>
      <c r="B212" t="s">
        <v>19</v>
      </c>
      <c r="C212" t="s">
        <v>790</v>
      </c>
      <c r="D212" t="s">
        <v>252</v>
      </c>
      <c r="E212" t="s">
        <v>767</v>
      </c>
      <c r="F212" t="s">
        <v>767</v>
      </c>
      <c r="G212" t="s">
        <v>767</v>
      </c>
      <c r="H212">
        <v>30.27</v>
      </c>
      <c r="I212">
        <v>77.28</v>
      </c>
      <c r="J212">
        <v>0</v>
      </c>
      <c r="K212" s="5"/>
    </row>
    <row r="213" spans="1:13" x14ac:dyDescent="0.3">
      <c r="A213" t="s">
        <v>784</v>
      </c>
      <c r="B213" t="s">
        <v>20</v>
      </c>
      <c r="C213" t="s">
        <v>791</v>
      </c>
      <c r="D213" t="s">
        <v>162</v>
      </c>
      <c r="E213" t="s">
        <v>767</v>
      </c>
      <c r="F213" t="s">
        <v>767</v>
      </c>
      <c r="G213" t="s">
        <v>767</v>
      </c>
      <c r="H213">
        <v>31.32</v>
      </c>
      <c r="I213">
        <v>76.83</v>
      </c>
      <c r="J213" t="s">
        <v>1052</v>
      </c>
      <c r="K213" s="5" t="s">
        <v>837</v>
      </c>
      <c r="L213" t="s">
        <v>791</v>
      </c>
      <c r="M213">
        <f>IF(L213=C213,1,0)</f>
        <v>1</v>
      </c>
    </row>
    <row r="214" spans="1:13" x14ac:dyDescent="0.3">
      <c r="A214" t="s">
        <v>784</v>
      </c>
      <c r="B214" t="s">
        <v>20</v>
      </c>
      <c r="C214" t="s">
        <v>791</v>
      </c>
      <c r="D214" t="s">
        <v>253</v>
      </c>
      <c r="E214" t="s">
        <v>766</v>
      </c>
      <c r="F214" t="s">
        <v>766</v>
      </c>
      <c r="G214" t="s">
        <v>766</v>
      </c>
      <c r="H214">
        <v>32.479999999999997</v>
      </c>
      <c r="I214">
        <v>76.17</v>
      </c>
      <c r="J214">
        <v>0</v>
      </c>
      <c r="K214" s="5"/>
    </row>
    <row r="215" spans="1:13" x14ac:dyDescent="0.3">
      <c r="A215" t="s">
        <v>784</v>
      </c>
      <c r="B215" t="s">
        <v>20</v>
      </c>
      <c r="C215" t="s">
        <v>791</v>
      </c>
      <c r="D215" t="s">
        <v>254</v>
      </c>
      <c r="E215" t="s">
        <v>767</v>
      </c>
      <c r="F215" t="s">
        <v>767</v>
      </c>
      <c r="G215" t="s">
        <v>767</v>
      </c>
      <c r="H215">
        <v>31.68</v>
      </c>
      <c r="I215">
        <v>76.52</v>
      </c>
      <c r="J215" t="s">
        <v>1072</v>
      </c>
      <c r="K215" s="5" t="s">
        <v>857</v>
      </c>
      <c r="L215" t="s">
        <v>811</v>
      </c>
      <c r="M215">
        <f>IF(L215=C215,1,0)</f>
        <v>0</v>
      </c>
    </row>
    <row r="216" spans="1:13" x14ac:dyDescent="0.3">
      <c r="A216" t="s">
        <v>784</v>
      </c>
      <c r="B216" t="s">
        <v>20</v>
      </c>
      <c r="C216" t="s">
        <v>791</v>
      </c>
      <c r="D216" t="s">
        <v>255</v>
      </c>
      <c r="E216" t="s">
        <v>767</v>
      </c>
      <c r="F216" t="s">
        <v>767</v>
      </c>
      <c r="G216" t="s">
        <v>767</v>
      </c>
      <c r="H216">
        <v>32.08</v>
      </c>
      <c r="I216">
        <v>76.3</v>
      </c>
      <c r="J216">
        <v>0</v>
      </c>
      <c r="K216" s="5"/>
    </row>
    <row r="217" spans="1:13" x14ac:dyDescent="0.3">
      <c r="A217" t="s">
        <v>784</v>
      </c>
      <c r="B217" t="s">
        <v>20</v>
      </c>
      <c r="C217" t="s">
        <v>791</v>
      </c>
      <c r="D217" t="s">
        <v>256</v>
      </c>
      <c r="E217" t="s">
        <v>766</v>
      </c>
      <c r="F217" t="s">
        <v>766</v>
      </c>
      <c r="G217" t="s">
        <v>766</v>
      </c>
      <c r="H217">
        <v>31.47</v>
      </c>
      <c r="I217">
        <v>78.349999999999994</v>
      </c>
      <c r="J217">
        <v>0</v>
      </c>
      <c r="K217" s="5"/>
    </row>
    <row r="218" spans="1:13" x14ac:dyDescent="0.3">
      <c r="A218" t="s">
        <v>784</v>
      </c>
      <c r="B218" t="s">
        <v>20</v>
      </c>
      <c r="C218" t="s">
        <v>791</v>
      </c>
      <c r="D218" t="s">
        <v>257</v>
      </c>
      <c r="E218" t="s">
        <v>766</v>
      </c>
      <c r="F218" t="s">
        <v>766</v>
      </c>
      <c r="G218" t="s">
        <v>766</v>
      </c>
      <c r="H218">
        <v>31.97</v>
      </c>
      <c r="I218">
        <v>77.099999999999994</v>
      </c>
      <c r="J218" t="s">
        <v>1073</v>
      </c>
      <c r="K218" s="5" t="s">
        <v>858</v>
      </c>
      <c r="L218" t="s">
        <v>791</v>
      </c>
      <c r="M218">
        <f>IF(L218=C218,1,0)</f>
        <v>1</v>
      </c>
    </row>
    <row r="219" spans="1:13" x14ac:dyDescent="0.3">
      <c r="A219" t="s">
        <v>784</v>
      </c>
      <c r="B219" t="s">
        <v>20</v>
      </c>
      <c r="C219" t="s">
        <v>791</v>
      </c>
      <c r="D219" t="s">
        <v>258</v>
      </c>
      <c r="E219" t="s">
        <v>766</v>
      </c>
      <c r="F219" t="s">
        <v>766</v>
      </c>
      <c r="G219" t="s">
        <v>766</v>
      </c>
      <c r="H219">
        <v>32.43</v>
      </c>
      <c r="I219">
        <v>77.55</v>
      </c>
      <c r="J219">
        <v>0</v>
      </c>
      <c r="K219" s="5"/>
    </row>
    <row r="220" spans="1:13" x14ac:dyDescent="0.3">
      <c r="A220" t="s">
        <v>784</v>
      </c>
      <c r="B220" t="s">
        <v>20</v>
      </c>
      <c r="C220" t="s">
        <v>791</v>
      </c>
      <c r="D220" t="s">
        <v>259</v>
      </c>
      <c r="E220" t="s">
        <v>767</v>
      </c>
      <c r="F220" t="s">
        <v>767</v>
      </c>
      <c r="G220" t="s">
        <v>767</v>
      </c>
      <c r="H220">
        <v>31.72</v>
      </c>
      <c r="I220">
        <v>76.97</v>
      </c>
      <c r="J220" t="s">
        <v>1074</v>
      </c>
      <c r="K220" s="5" t="s">
        <v>859</v>
      </c>
      <c r="L220" t="s">
        <v>791</v>
      </c>
      <c r="M220">
        <f>IF(L220=C220,1,0)</f>
        <v>1</v>
      </c>
    </row>
    <row r="221" spans="1:13" x14ac:dyDescent="0.3">
      <c r="A221" t="s">
        <v>784</v>
      </c>
      <c r="B221" t="s">
        <v>20</v>
      </c>
      <c r="C221" t="s">
        <v>791</v>
      </c>
      <c r="D221" t="s">
        <v>260</v>
      </c>
      <c r="E221" t="s">
        <v>766</v>
      </c>
      <c r="F221" t="s">
        <v>766</v>
      </c>
      <c r="G221" t="s">
        <v>766</v>
      </c>
      <c r="H221">
        <v>31.1</v>
      </c>
      <c r="I221">
        <v>77.22</v>
      </c>
      <c r="J221" t="s">
        <v>1075</v>
      </c>
      <c r="K221" s="5" t="s">
        <v>860</v>
      </c>
      <c r="L221" t="s">
        <v>791</v>
      </c>
      <c r="M221">
        <f>IF(L221=C221,1,0)</f>
        <v>1</v>
      </c>
    </row>
    <row r="222" spans="1:13" x14ac:dyDescent="0.3">
      <c r="A222" t="s">
        <v>784</v>
      </c>
      <c r="B222" t="s">
        <v>20</v>
      </c>
      <c r="C222" t="s">
        <v>791</v>
      </c>
      <c r="D222" t="s">
        <v>261</v>
      </c>
      <c r="E222" t="s">
        <v>767</v>
      </c>
      <c r="F222" t="s">
        <v>767</v>
      </c>
      <c r="G222" t="s">
        <v>767</v>
      </c>
      <c r="H222">
        <v>30.5</v>
      </c>
      <c r="I222">
        <v>77.47</v>
      </c>
      <c r="J222">
        <v>0</v>
      </c>
      <c r="K222" s="5"/>
    </row>
    <row r="223" spans="1:13" x14ac:dyDescent="0.3">
      <c r="A223" t="s">
        <v>784</v>
      </c>
      <c r="B223" t="s">
        <v>20</v>
      </c>
      <c r="C223" t="s">
        <v>791</v>
      </c>
      <c r="D223" t="s">
        <v>262</v>
      </c>
      <c r="E223" t="s">
        <v>767</v>
      </c>
      <c r="F223" t="s">
        <v>767</v>
      </c>
      <c r="G223" t="s">
        <v>767</v>
      </c>
      <c r="H223">
        <v>30.92</v>
      </c>
      <c r="I223">
        <v>77.12</v>
      </c>
      <c r="J223">
        <v>0</v>
      </c>
      <c r="K223" s="5"/>
    </row>
    <row r="224" spans="1:13" x14ac:dyDescent="0.3">
      <c r="A224" t="s">
        <v>784</v>
      </c>
      <c r="B224" t="s">
        <v>20</v>
      </c>
      <c r="C224" t="s">
        <v>791</v>
      </c>
      <c r="D224" t="s">
        <v>263</v>
      </c>
      <c r="E224" t="s">
        <v>767</v>
      </c>
      <c r="F224" t="s">
        <v>767</v>
      </c>
      <c r="G224" t="s">
        <v>767</v>
      </c>
      <c r="H224">
        <v>20.77</v>
      </c>
      <c r="I224">
        <v>71.13</v>
      </c>
      <c r="J224" t="s">
        <v>1076</v>
      </c>
      <c r="K224" s="5" t="s">
        <v>861</v>
      </c>
      <c r="L224" t="s">
        <v>791</v>
      </c>
      <c r="M224">
        <f>IF(L224=C224,1,0)</f>
        <v>1</v>
      </c>
    </row>
    <row r="225" spans="1:13" x14ac:dyDescent="0.3">
      <c r="A225" t="s">
        <v>784</v>
      </c>
      <c r="B225" t="s">
        <v>21</v>
      </c>
      <c r="C225" t="s">
        <v>792</v>
      </c>
      <c r="D225" t="s">
        <v>264</v>
      </c>
      <c r="E225" t="s">
        <v>766</v>
      </c>
      <c r="F225" t="s">
        <v>766</v>
      </c>
      <c r="G225" t="s">
        <v>766</v>
      </c>
      <c r="H225">
        <v>33.729999999999997</v>
      </c>
      <c r="I225">
        <v>75.150000000000006</v>
      </c>
      <c r="J225">
        <v>0</v>
      </c>
      <c r="K225" s="5"/>
    </row>
    <row r="226" spans="1:13" x14ac:dyDescent="0.3">
      <c r="A226" t="s">
        <v>784</v>
      </c>
      <c r="B226" t="s">
        <v>21</v>
      </c>
      <c r="C226" t="s">
        <v>792</v>
      </c>
      <c r="D226" t="s">
        <v>265</v>
      </c>
      <c r="E226" t="s">
        <v>766</v>
      </c>
      <c r="F226" t="s">
        <v>766</v>
      </c>
      <c r="G226" t="s">
        <v>766</v>
      </c>
      <c r="H226">
        <v>24.42</v>
      </c>
      <c r="I226">
        <v>74.650000000000006</v>
      </c>
      <c r="J226">
        <v>0</v>
      </c>
      <c r="K226" s="5"/>
    </row>
    <row r="227" spans="1:13" x14ac:dyDescent="0.3">
      <c r="A227" t="s">
        <v>784</v>
      </c>
      <c r="B227" t="s">
        <v>21</v>
      </c>
      <c r="C227" t="s">
        <v>792</v>
      </c>
      <c r="D227" t="s">
        <v>266</v>
      </c>
      <c r="E227" t="s">
        <v>766</v>
      </c>
      <c r="F227" t="s">
        <v>766</v>
      </c>
      <c r="G227" t="s">
        <v>766</v>
      </c>
      <c r="H227">
        <v>34.17</v>
      </c>
      <c r="I227">
        <v>74.5</v>
      </c>
      <c r="J227">
        <v>0</v>
      </c>
      <c r="K227" s="5"/>
    </row>
    <row r="228" spans="1:13" x14ac:dyDescent="0.3">
      <c r="A228" t="s">
        <v>784</v>
      </c>
      <c r="B228" t="s">
        <v>21</v>
      </c>
      <c r="C228" t="s">
        <v>792</v>
      </c>
      <c r="D228" t="s">
        <v>267</v>
      </c>
      <c r="E228" t="s">
        <v>766</v>
      </c>
      <c r="F228" t="s">
        <v>766</v>
      </c>
      <c r="G228" t="s">
        <v>766</v>
      </c>
      <c r="H228">
        <v>34</v>
      </c>
      <c r="I228">
        <v>75</v>
      </c>
      <c r="J228">
        <v>0</v>
      </c>
      <c r="K228" s="5"/>
    </row>
    <row r="229" spans="1:13" x14ac:dyDescent="0.3">
      <c r="A229" t="s">
        <v>784</v>
      </c>
      <c r="B229" t="s">
        <v>21</v>
      </c>
      <c r="C229" t="s">
        <v>792</v>
      </c>
      <c r="D229" t="s">
        <v>268</v>
      </c>
      <c r="E229" t="s">
        <v>766</v>
      </c>
      <c r="F229" t="s">
        <v>766</v>
      </c>
      <c r="G229" t="s">
        <v>766</v>
      </c>
      <c r="H229">
        <v>32.880000000000003</v>
      </c>
      <c r="I229">
        <v>76.78</v>
      </c>
      <c r="J229">
        <v>0</v>
      </c>
      <c r="K229" s="5"/>
    </row>
    <row r="230" spans="1:13" x14ac:dyDescent="0.3">
      <c r="A230" t="s">
        <v>784</v>
      </c>
      <c r="B230" t="s">
        <v>21</v>
      </c>
      <c r="C230" t="s">
        <v>792</v>
      </c>
      <c r="D230" t="s">
        <v>269</v>
      </c>
      <c r="E230" t="s">
        <v>766</v>
      </c>
      <c r="F230" t="s">
        <v>766</v>
      </c>
      <c r="G230" t="s">
        <v>766</v>
      </c>
      <c r="H230">
        <v>34.209931300000001</v>
      </c>
      <c r="I230" s="7">
        <v>74.776927299999997</v>
      </c>
      <c r="J230">
        <v>0</v>
      </c>
      <c r="K230" s="5"/>
    </row>
    <row r="231" spans="1:13" x14ac:dyDescent="0.3">
      <c r="A231" t="s">
        <v>784</v>
      </c>
      <c r="B231" t="s">
        <v>21</v>
      </c>
      <c r="C231" t="s">
        <v>792</v>
      </c>
      <c r="D231" t="s">
        <v>270</v>
      </c>
      <c r="E231" t="s">
        <v>766</v>
      </c>
      <c r="F231" t="s">
        <v>766</v>
      </c>
      <c r="G231" t="s">
        <v>766</v>
      </c>
      <c r="H231">
        <v>32.72</v>
      </c>
      <c r="I231">
        <v>74.900000000000006</v>
      </c>
      <c r="J231" t="s">
        <v>1077</v>
      </c>
      <c r="K231" s="5" t="s">
        <v>862</v>
      </c>
      <c r="L231" t="s">
        <v>792</v>
      </c>
      <c r="M231">
        <f>IF(L231=C231,1,0)</f>
        <v>1</v>
      </c>
    </row>
    <row r="232" spans="1:13" x14ac:dyDescent="0.3">
      <c r="A232" t="s">
        <v>784</v>
      </c>
      <c r="B232" t="s">
        <v>21</v>
      </c>
      <c r="C232" t="s">
        <v>792</v>
      </c>
      <c r="D232" t="s">
        <v>271</v>
      </c>
      <c r="E232" t="s">
        <v>766</v>
      </c>
      <c r="F232" t="s">
        <v>766</v>
      </c>
      <c r="G232" t="s">
        <v>766</v>
      </c>
      <c r="H232">
        <v>32.28</v>
      </c>
      <c r="I232">
        <v>75.599999999999994</v>
      </c>
      <c r="J232">
        <v>0</v>
      </c>
      <c r="K232" s="5"/>
    </row>
    <row r="233" spans="1:13" x14ac:dyDescent="0.3">
      <c r="A233" t="s">
        <v>784</v>
      </c>
      <c r="B233" t="s">
        <v>21</v>
      </c>
      <c r="C233" t="s">
        <v>792</v>
      </c>
      <c r="D233" t="s">
        <v>272</v>
      </c>
      <c r="E233" t="s">
        <v>766</v>
      </c>
      <c r="F233" t="s">
        <v>766</v>
      </c>
      <c r="G233" t="s">
        <v>766</v>
      </c>
      <c r="H233">
        <v>33.310790799999999</v>
      </c>
      <c r="I233" s="7">
        <v>75.769421300000005</v>
      </c>
      <c r="J233">
        <v>0</v>
      </c>
      <c r="K233" s="5"/>
    </row>
    <row r="234" spans="1:13" x14ac:dyDescent="0.3">
      <c r="A234" t="s">
        <v>784</v>
      </c>
      <c r="B234" t="s">
        <v>21</v>
      </c>
      <c r="C234" t="s">
        <v>792</v>
      </c>
      <c r="D234" t="s">
        <v>273</v>
      </c>
      <c r="E234" t="s">
        <v>766</v>
      </c>
      <c r="F234" t="s">
        <v>766</v>
      </c>
      <c r="G234" t="s">
        <v>766</v>
      </c>
      <c r="H234">
        <v>33.644689900000003</v>
      </c>
      <c r="I234" s="7">
        <v>75.018843200000006</v>
      </c>
      <c r="J234">
        <v>0</v>
      </c>
      <c r="K234" s="5"/>
    </row>
    <row r="235" spans="1:13" x14ac:dyDescent="0.3">
      <c r="A235" t="s">
        <v>784</v>
      </c>
      <c r="B235" t="s">
        <v>21</v>
      </c>
      <c r="C235" t="s">
        <v>792</v>
      </c>
      <c r="D235" t="s">
        <v>274</v>
      </c>
      <c r="E235" t="s">
        <v>766</v>
      </c>
      <c r="F235" t="s">
        <v>766</v>
      </c>
      <c r="G235" t="s">
        <v>766</v>
      </c>
      <c r="H235">
        <v>34.35</v>
      </c>
      <c r="I235">
        <v>73.27</v>
      </c>
      <c r="J235">
        <v>0</v>
      </c>
      <c r="K235" s="5"/>
    </row>
    <row r="236" spans="1:13" x14ac:dyDescent="0.3">
      <c r="A236" t="s">
        <v>784</v>
      </c>
      <c r="B236" t="s">
        <v>21</v>
      </c>
      <c r="C236" t="s">
        <v>792</v>
      </c>
      <c r="D236" t="s">
        <v>275</v>
      </c>
      <c r="E236" t="s">
        <v>766</v>
      </c>
      <c r="F236" t="s">
        <v>766</v>
      </c>
      <c r="G236" t="s">
        <v>766</v>
      </c>
      <c r="H236">
        <v>33.42</v>
      </c>
      <c r="I236">
        <v>74.58</v>
      </c>
      <c r="J236">
        <v>0</v>
      </c>
      <c r="K236" s="5"/>
    </row>
    <row r="237" spans="1:13" x14ac:dyDescent="0.3">
      <c r="A237" t="s">
        <v>784</v>
      </c>
      <c r="B237" t="s">
        <v>21</v>
      </c>
      <c r="C237" t="s">
        <v>792</v>
      </c>
      <c r="D237" t="s">
        <v>276</v>
      </c>
      <c r="E237" t="s">
        <v>766</v>
      </c>
      <c r="F237" t="s">
        <v>766</v>
      </c>
      <c r="G237" t="s">
        <v>766</v>
      </c>
      <c r="H237">
        <v>33.33</v>
      </c>
      <c r="I237">
        <v>75.58</v>
      </c>
      <c r="J237">
        <v>0</v>
      </c>
      <c r="K237" s="5"/>
    </row>
    <row r="238" spans="1:13" x14ac:dyDescent="0.3">
      <c r="A238" t="s">
        <v>784</v>
      </c>
      <c r="B238" t="s">
        <v>21</v>
      </c>
      <c r="C238" t="s">
        <v>792</v>
      </c>
      <c r="D238" t="s">
        <v>277</v>
      </c>
      <c r="E238" t="s">
        <v>766</v>
      </c>
      <c r="F238" t="s">
        <v>766</v>
      </c>
      <c r="G238" t="s">
        <v>766</v>
      </c>
      <c r="H238">
        <v>32.97</v>
      </c>
      <c r="I238">
        <v>74.069999999999993</v>
      </c>
      <c r="J238">
        <v>0</v>
      </c>
      <c r="K238" s="5"/>
    </row>
    <row r="239" spans="1:13" x14ac:dyDescent="0.3">
      <c r="A239" t="s">
        <v>784</v>
      </c>
      <c r="B239" t="s">
        <v>21</v>
      </c>
      <c r="C239" t="s">
        <v>792</v>
      </c>
      <c r="D239" t="s">
        <v>278</v>
      </c>
      <c r="E239" t="s">
        <v>766</v>
      </c>
      <c r="F239" t="s">
        <v>766</v>
      </c>
      <c r="G239" t="s">
        <v>766</v>
      </c>
      <c r="H239">
        <v>33.211637099999997</v>
      </c>
      <c r="I239" s="7">
        <v>75.205098899999996</v>
      </c>
      <c r="J239">
        <v>0</v>
      </c>
      <c r="K239" s="5"/>
    </row>
    <row r="240" spans="1:13" x14ac:dyDescent="0.3">
      <c r="A240" t="s">
        <v>784</v>
      </c>
      <c r="B240" t="s">
        <v>21</v>
      </c>
      <c r="C240" t="s">
        <v>792</v>
      </c>
      <c r="D240" t="s">
        <v>279</v>
      </c>
      <c r="E240" t="s">
        <v>766</v>
      </c>
      <c r="F240" t="s">
        <v>766</v>
      </c>
      <c r="G240" t="s">
        <v>766</v>
      </c>
      <c r="H240">
        <v>33.069103200000001</v>
      </c>
      <c r="I240" s="7">
        <v>74.837869800000007</v>
      </c>
      <c r="J240">
        <v>0</v>
      </c>
      <c r="K240" s="5"/>
    </row>
    <row r="241" spans="1:14" x14ac:dyDescent="0.3">
      <c r="A241" t="s">
        <v>784</v>
      </c>
      <c r="B241" t="s">
        <v>21</v>
      </c>
      <c r="C241" t="s">
        <v>792</v>
      </c>
      <c r="D241" t="s">
        <v>280</v>
      </c>
      <c r="E241" t="s">
        <v>766</v>
      </c>
      <c r="F241" t="s">
        <v>766</v>
      </c>
      <c r="G241" t="s">
        <v>766</v>
      </c>
      <c r="H241">
        <v>32.93</v>
      </c>
      <c r="I241">
        <v>75.180000000000007</v>
      </c>
      <c r="J241" t="s">
        <v>1078</v>
      </c>
      <c r="K241" s="5" t="s">
        <v>863</v>
      </c>
      <c r="L241" t="s">
        <v>803</v>
      </c>
      <c r="M241">
        <f>IF(L241=C241,1,0)</f>
        <v>0</v>
      </c>
      <c r="N241" t="s">
        <v>1023</v>
      </c>
    </row>
    <row r="242" spans="1:14" x14ac:dyDescent="0.3">
      <c r="A242" t="s">
        <v>784</v>
      </c>
      <c r="B242" t="s">
        <v>21</v>
      </c>
      <c r="C242" t="s">
        <v>792</v>
      </c>
      <c r="D242" t="s">
        <v>281</v>
      </c>
      <c r="E242" t="s">
        <v>766</v>
      </c>
      <c r="F242" t="s">
        <v>766</v>
      </c>
      <c r="G242" t="s">
        <v>766</v>
      </c>
      <c r="H242">
        <v>33.720783699999998</v>
      </c>
      <c r="I242" s="7">
        <v>74.771424400000001</v>
      </c>
      <c r="J242">
        <v>0</v>
      </c>
      <c r="K242" s="5"/>
    </row>
    <row r="243" spans="1:14" x14ac:dyDescent="0.3">
      <c r="A243" t="s">
        <v>784</v>
      </c>
      <c r="B243" t="s">
        <v>21</v>
      </c>
      <c r="C243" t="s">
        <v>792</v>
      </c>
      <c r="D243" t="s">
        <v>282</v>
      </c>
      <c r="E243" t="s">
        <v>766</v>
      </c>
      <c r="F243" t="s">
        <v>766</v>
      </c>
      <c r="G243" t="s">
        <v>766</v>
      </c>
      <c r="H243">
        <v>34.130000000000003</v>
      </c>
      <c r="I243">
        <v>75.38</v>
      </c>
      <c r="J243" t="s">
        <v>1079</v>
      </c>
      <c r="K243" s="5" t="s">
        <v>864</v>
      </c>
      <c r="L243" t="s">
        <v>792</v>
      </c>
      <c r="M243">
        <f>IF(L243=C243,1,0)</f>
        <v>1</v>
      </c>
    </row>
    <row r="244" spans="1:14" x14ac:dyDescent="0.3">
      <c r="A244" t="s">
        <v>784</v>
      </c>
      <c r="B244" t="s">
        <v>21</v>
      </c>
      <c r="C244" t="s">
        <v>792</v>
      </c>
      <c r="D244" t="s">
        <v>283</v>
      </c>
      <c r="E244" t="s">
        <v>766</v>
      </c>
      <c r="F244" t="s">
        <v>766</v>
      </c>
      <c r="G244" t="s">
        <v>766</v>
      </c>
      <c r="H244">
        <v>32.57</v>
      </c>
      <c r="I244">
        <v>75.63</v>
      </c>
      <c r="J244">
        <v>0</v>
      </c>
      <c r="K244" s="5"/>
    </row>
    <row r="245" spans="1:14" x14ac:dyDescent="0.3">
      <c r="A245" t="s">
        <v>784</v>
      </c>
      <c r="B245" t="s">
        <v>22</v>
      </c>
      <c r="C245" t="s">
        <v>793</v>
      </c>
      <c r="D245" t="s">
        <v>284</v>
      </c>
      <c r="E245" t="s">
        <v>767</v>
      </c>
      <c r="F245" t="s">
        <v>767</v>
      </c>
      <c r="G245" t="s">
        <v>767</v>
      </c>
      <c r="H245">
        <v>23.77</v>
      </c>
      <c r="I245">
        <v>85.92</v>
      </c>
      <c r="J245">
        <v>0</v>
      </c>
      <c r="K245" s="5"/>
    </row>
    <row r="246" spans="1:14" x14ac:dyDescent="0.3">
      <c r="A246" t="s">
        <v>784</v>
      </c>
      <c r="B246" t="s">
        <v>22</v>
      </c>
      <c r="C246" t="s">
        <v>793</v>
      </c>
      <c r="D246" t="s">
        <v>285</v>
      </c>
      <c r="E246" t="s">
        <v>767</v>
      </c>
      <c r="F246" t="s">
        <v>767</v>
      </c>
      <c r="G246" t="s">
        <v>767</v>
      </c>
      <c r="H246">
        <v>24.2</v>
      </c>
      <c r="I246">
        <v>84.93</v>
      </c>
      <c r="J246">
        <v>0</v>
      </c>
      <c r="K246" s="5"/>
    </row>
    <row r="247" spans="1:14" x14ac:dyDescent="0.3">
      <c r="A247" t="s">
        <v>784</v>
      </c>
      <c r="B247" t="s">
        <v>22</v>
      </c>
      <c r="C247" t="s">
        <v>793</v>
      </c>
      <c r="D247" t="s">
        <v>286</v>
      </c>
      <c r="E247" t="s">
        <v>767</v>
      </c>
      <c r="F247" t="s">
        <v>767</v>
      </c>
      <c r="G247" t="s">
        <v>767</v>
      </c>
      <c r="H247">
        <v>24.5</v>
      </c>
      <c r="I247">
        <v>86.7</v>
      </c>
      <c r="J247">
        <v>0</v>
      </c>
      <c r="K247" s="5"/>
    </row>
    <row r="248" spans="1:14" x14ac:dyDescent="0.3">
      <c r="A248" t="s">
        <v>784</v>
      </c>
      <c r="B248" t="s">
        <v>22</v>
      </c>
      <c r="C248" t="s">
        <v>793</v>
      </c>
      <c r="D248" t="s">
        <v>287</v>
      </c>
      <c r="E248" t="s">
        <v>767</v>
      </c>
      <c r="F248" t="s">
        <v>767</v>
      </c>
      <c r="G248" t="s">
        <v>767</v>
      </c>
      <c r="H248">
        <v>23.78</v>
      </c>
      <c r="I248">
        <v>86.5</v>
      </c>
      <c r="J248">
        <v>0</v>
      </c>
      <c r="K248" s="5"/>
    </row>
    <row r="249" spans="1:14" x14ac:dyDescent="0.3">
      <c r="A249" t="s">
        <v>784</v>
      </c>
      <c r="B249" t="s">
        <v>22</v>
      </c>
      <c r="C249" t="s">
        <v>793</v>
      </c>
      <c r="D249" t="s">
        <v>288</v>
      </c>
      <c r="E249" t="s">
        <v>764</v>
      </c>
      <c r="F249" t="s">
        <v>764</v>
      </c>
      <c r="G249" t="s">
        <v>764</v>
      </c>
      <c r="H249">
        <v>24.2</v>
      </c>
      <c r="I249">
        <v>87.25</v>
      </c>
      <c r="J249" t="s">
        <v>1080</v>
      </c>
      <c r="K249" s="5" t="s">
        <v>865</v>
      </c>
      <c r="L249" t="s">
        <v>793</v>
      </c>
      <c r="M249">
        <f>IF(L249=C249,1,0)</f>
        <v>1</v>
      </c>
    </row>
    <row r="250" spans="1:14" x14ac:dyDescent="0.3">
      <c r="A250" t="s">
        <v>784</v>
      </c>
      <c r="B250" t="s">
        <v>22</v>
      </c>
      <c r="C250" t="s">
        <v>793</v>
      </c>
      <c r="D250" t="s">
        <v>289</v>
      </c>
      <c r="E250" t="s">
        <v>764</v>
      </c>
      <c r="F250" t="s">
        <v>764</v>
      </c>
      <c r="G250" t="s">
        <v>764</v>
      </c>
      <c r="H250">
        <v>22.6</v>
      </c>
      <c r="I250">
        <v>86.42</v>
      </c>
      <c r="J250">
        <v>0</v>
      </c>
      <c r="K250" s="5"/>
    </row>
    <row r="251" spans="1:14" x14ac:dyDescent="0.3">
      <c r="A251" t="s">
        <v>784</v>
      </c>
      <c r="B251" t="s">
        <v>22</v>
      </c>
      <c r="C251" t="s">
        <v>793</v>
      </c>
      <c r="D251" t="s">
        <v>290</v>
      </c>
      <c r="E251" t="s">
        <v>767</v>
      </c>
      <c r="F251" t="s">
        <v>767</v>
      </c>
      <c r="G251" t="s">
        <v>767</v>
      </c>
      <c r="H251">
        <v>24.17</v>
      </c>
      <c r="I251">
        <v>83.87</v>
      </c>
      <c r="J251">
        <v>0</v>
      </c>
      <c r="K251" s="5"/>
    </row>
    <row r="252" spans="1:14" x14ac:dyDescent="0.3">
      <c r="A252" t="s">
        <v>784</v>
      </c>
      <c r="B252" t="s">
        <v>22</v>
      </c>
      <c r="C252" t="s">
        <v>793</v>
      </c>
      <c r="D252" t="s">
        <v>291</v>
      </c>
      <c r="E252" t="s">
        <v>767</v>
      </c>
      <c r="F252" t="s">
        <v>767</v>
      </c>
      <c r="G252" t="s">
        <v>767</v>
      </c>
      <c r="H252">
        <v>24.17</v>
      </c>
      <c r="I252">
        <v>86.35</v>
      </c>
      <c r="J252">
        <v>0</v>
      </c>
      <c r="K252" s="5"/>
    </row>
    <row r="253" spans="1:14" x14ac:dyDescent="0.3">
      <c r="A253" t="s">
        <v>784</v>
      </c>
      <c r="B253" t="s">
        <v>22</v>
      </c>
      <c r="C253" t="s">
        <v>793</v>
      </c>
      <c r="D253" t="s">
        <v>292</v>
      </c>
      <c r="E253" t="s">
        <v>764</v>
      </c>
      <c r="F253" t="s">
        <v>764</v>
      </c>
      <c r="G253" t="s">
        <v>764</v>
      </c>
      <c r="H253">
        <v>24.83</v>
      </c>
      <c r="I253">
        <v>87.22</v>
      </c>
      <c r="J253">
        <v>0</v>
      </c>
      <c r="K253" s="5"/>
    </row>
    <row r="254" spans="1:14" x14ac:dyDescent="0.3">
      <c r="A254" t="s">
        <v>784</v>
      </c>
      <c r="B254" t="s">
        <v>22</v>
      </c>
      <c r="C254" t="s">
        <v>793</v>
      </c>
      <c r="D254" t="s">
        <v>293</v>
      </c>
      <c r="E254" t="s">
        <v>771</v>
      </c>
      <c r="F254" t="s">
        <v>767</v>
      </c>
      <c r="G254" t="s">
        <v>771</v>
      </c>
      <c r="H254">
        <v>23.05</v>
      </c>
      <c r="I254">
        <v>84.55</v>
      </c>
      <c r="J254">
        <v>0</v>
      </c>
      <c r="K254" s="5"/>
    </row>
    <row r="255" spans="1:14" x14ac:dyDescent="0.3">
      <c r="A255" t="s">
        <v>784</v>
      </c>
      <c r="B255" t="s">
        <v>22</v>
      </c>
      <c r="C255" t="s">
        <v>793</v>
      </c>
      <c r="D255" t="s">
        <v>294</v>
      </c>
      <c r="E255" t="s">
        <v>767</v>
      </c>
      <c r="F255" t="s">
        <v>767</v>
      </c>
      <c r="G255" t="s">
        <v>767</v>
      </c>
      <c r="H255">
        <v>23.98</v>
      </c>
      <c r="I255">
        <v>85.42</v>
      </c>
      <c r="J255" t="s">
        <v>1081</v>
      </c>
      <c r="K255" s="5" t="s">
        <v>866</v>
      </c>
      <c r="L255" t="s">
        <v>793</v>
      </c>
      <c r="M255">
        <f>IF(L255=C255,1,0)</f>
        <v>1</v>
      </c>
    </row>
    <row r="256" spans="1:14" x14ac:dyDescent="0.3">
      <c r="A256" t="s">
        <v>784</v>
      </c>
      <c r="B256" t="s">
        <v>22</v>
      </c>
      <c r="C256" t="s">
        <v>793</v>
      </c>
      <c r="D256" t="s">
        <v>295</v>
      </c>
      <c r="E256" t="s">
        <v>771</v>
      </c>
      <c r="F256" t="s">
        <v>767</v>
      </c>
      <c r="G256" t="s">
        <v>771</v>
      </c>
      <c r="H256">
        <v>23.980163900000001</v>
      </c>
      <c r="I256" s="7">
        <v>86.924363700000001</v>
      </c>
      <c r="J256">
        <v>0</v>
      </c>
      <c r="K256" s="5"/>
    </row>
    <row r="257" spans="1:13" x14ac:dyDescent="0.3">
      <c r="A257" t="s">
        <v>784</v>
      </c>
      <c r="B257" t="s">
        <v>22</v>
      </c>
      <c r="C257" t="s">
        <v>793</v>
      </c>
      <c r="D257" t="s">
        <v>296</v>
      </c>
      <c r="E257" t="s">
        <v>767</v>
      </c>
      <c r="F257" t="s">
        <v>767</v>
      </c>
      <c r="G257" t="s">
        <v>767</v>
      </c>
      <c r="H257">
        <v>22.928180099999999</v>
      </c>
      <c r="I257" s="7">
        <v>85.281447499999999</v>
      </c>
      <c r="J257">
        <v>0</v>
      </c>
      <c r="K257" s="5"/>
    </row>
    <row r="258" spans="1:13" x14ac:dyDescent="0.3">
      <c r="A258" t="s">
        <v>784</v>
      </c>
      <c r="B258" t="s">
        <v>22</v>
      </c>
      <c r="C258" t="s">
        <v>793</v>
      </c>
      <c r="D258" t="s">
        <v>297</v>
      </c>
      <c r="E258" t="s">
        <v>767</v>
      </c>
      <c r="F258" t="s">
        <v>767</v>
      </c>
      <c r="G258" t="s">
        <v>767</v>
      </c>
      <c r="H258">
        <v>24.25</v>
      </c>
      <c r="I258">
        <v>85.9</v>
      </c>
      <c r="J258">
        <v>0</v>
      </c>
      <c r="K258" s="5"/>
    </row>
    <row r="259" spans="1:13" x14ac:dyDescent="0.3">
      <c r="A259" t="s">
        <v>784</v>
      </c>
      <c r="B259" t="s">
        <v>22</v>
      </c>
      <c r="C259" t="s">
        <v>793</v>
      </c>
      <c r="D259" t="s">
        <v>298</v>
      </c>
      <c r="E259" t="s">
        <v>767</v>
      </c>
      <c r="F259" t="s">
        <v>767</v>
      </c>
      <c r="G259" t="s">
        <v>767</v>
      </c>
      <c r="H259">
        <v>23.688005700000001</v>
      </c>
      <c r="I259" s="7">
        <v>84.496955099999994</v>
      </c>
      <c r="J259">
        <v>0</v>
      </c>
      <c r="K259" s="5"/>
    </row>
    <row r="260" spans="1:13" x14ac:dyDescent="0.3">
      <c r="A260" t="s">
        <v>784</v>
      </c>
      <c r="B260" t="s">
        <v>22</v>
      </c>
      <c r="C260" t="s">
        <v>793</v>
      </c>
      <c r="D260" t="s">
        <v>299</v>
      </c>
      <c r="E260" t="s">
        <v>767</v>
      </c>
      <c r="F260" t="s">
        <v>767</v>
      </c>
      <c r="G260" t="s">
        <v>767</v>
      </c>
      <c r="H260">
        <v>23.43</v>
      </c>
      <c r="I260">
        <v>84.7</v>
      </c>
      <c r="J260">
        <v>0</v>
      </c>
      <c r="K260" s="5"/>
    </row>
    <row r="261" spans="1:13" x14ac:dyDescent="0.3">
      <c r="A261" t="s">
        <v>784</v>
      </c>
      <c r="B261" t="s">
        <v>22</v>
      </c>
      <c r="C261" t="s">
        <v>793</v>
      </c>
      <c r="D261" t="s">
        <v>300</v>
      </c>
      <c r="E261" t="s">
        <v>764</v>
      </c>
      <c r="F261" t="s">
        <v>764</v>
      </c>
      <c r="G261" t="s">
        <v>764</v>
      </c>
      <c r="H261">
        <v>24.63</v>
      </c>
      <c r="I261">
        <v>87.9</v>
      </c>
      <c r="J261">
        <v>0</v>
      </c>
      <c r="K261" s="5"/>
    </row>
    <row r="262" spans="1:13" x14ac:dyDescent="0.3">
      <c r="A262" t="s">
        <v>784</v>
      </c>
      <c r="B262" t="s">
        <v>22</v>
      </c>
      <c r="C262" t="s">
        <v>793</v>
      </c>
      <c r="D262" t="s">
        <v>301</v>
      </c>
      <c r="E262" t="s">
        <v>767</v>
      </c>
      <c r="F262" t="s">
        <v>767</v>
      </c>
      <c r="G262" t="s">
        <v>767</v>
      </c>
      <c r="H262">
        <v>23.87</v>
      </c>
      <c r="I262">
        <v>84.28</v>
      </c>
      <c r="J262">
        <v>0</v>
      </c>
      <c r="K262" s="5"/>
    </row>
    <row r="263" spans="1:13" x14ac:dyDescent="0.3">
      <c r="A263" t="s">
        <v>784</v>
      </c>
      <c r="B263" t="s">
        <v>22</v>
      </c>
      <c r="C263" t="s">
        <v>793</v>
      </c>
      <c r="D263" t="s">
        <v>302</v>
      </c>
      <c r="E263" t="s">
        <v>767</v>
      </c>
      <c r="F263" t="s">
        <v>767</v>
      </c>
      <c r="G263" t="s">
        <v>767</v>
      </c>
      <c r="H263">
        <v>23.693479</v>
      </c>
      <c r="I263" s="7">
        <v>85.521598900000001</v>
      </c>
      <c r="J263">
        <v>0</v>
      </c>
      <c r="K263" s="5"/>
    </row>
    <row r="264" spans="1:13" x14ac:dyDescent="0.3">
      <c r="A264" t="s">
        <v>784</v>
      </c>
      <c r="B264" t="s">
        <v>22</v>
      </c>
      <c r="C264" t="s">
        <v>793</v>
      </c>
      <c r="D264" t="s">
        <v>303</v>
      </c>
      <c r="E264" t="s">
        <v>767</v>
      </c>
      <c r="F264" t="s">
        <v>767</v>
      </c>
      <c r="G264" t="s">
        <v>767</v>
      </c>
      <c r="H264">
        <v>23.38</v>
      </c>
      <c r="I264">
        <v>85.38</v>
      </c>
      <c r="J264" t="s">
        <v>1082</v>
      </c>
      <c r="K264" s="5" t="s">
        <v>867</v>
      </c>
      <c r="L264" t="s">
        <v>793</v>
      </c>
      <c r="M264">
        <f>IF(L264=C264,1,0)</f>
        <v>1</v>
      </c>
    </row>
    <row r="265" spans="1:13" x14ac:dyDescent="0.3">
      <c r="A265" t="s">
        <v>784</v>
      </c>
      <c r="B265" t="s">
        <v>22</v>
      </c>
      <c r="C265" t="s">
        <v>793</v>
      </c>
      <c r="D265" t="s">
        <v>304</v>
      </c>
      <c r="E265" t="s">
        <v>764</v>
      </c>
      <c r="F265" t="s">
        <v>764</v>
      </c>
      <c r="G265" t="s">
        <v>764</v>
      </c>
      <c r="H265">
        <v>25.22</v>
      </c>
      <c r="I265">
        <v>87.07</v>
      </c>
      <c r="J265">
        <v>0</v>
      </c>
      <c r="K265" s="5"/>
    </row>
    <row r="266" spans="1:13" x14ac:dyDescent="0.3">
      <c r="A266" t="s">
        <v>784</v>
      </c>
      <c r="B266" t="s">
        <v>22</v>
      </c>
      <c r="C266" t="s">
        <v>793</v>
      </c>
      <c r="D266" t="s">
        <v>305</v>
      </c>
      <c r="E266" t="s">
        <v>767</v>
      </c>
      <c r="F266" t="s">
        <v>767</v>
      </c>
      <c r="G266" t="s">
        <v>767</v>
      </c>
      <c r="H266">
        <v>22.7</v>
      </c>
      <c r="I266">
        <v>85.97</v>
      </c>
      <c r="J266">
        <v>0</v>
      </c>
      <c r="K266" s="5"/>
    </row>
    <row r="267" spans="1:13" x14ac:dyDescent="0.3">
      <c r="A267" t="s">
        <v>784</v>
      </c>
      <c r="B267" t="s">
        <v>22</v>
      </c>
      <c r="C267" t="s">
        <v>793</v>
      </c>
      <c r="D267" t="s">
        <v>306</v>
      </c>
      <c r="E267" t="s">
        <v>764</v>
      </c>
      <c r="F267" t="s">
        <v>764</v>
      </c>
      <c r="G267" t="s">
        <v>764</v>
      </c>
      <c r="H267">
        <v>22.590457300000001</v>
      </c>
      <c r="I267" s="7">
        <v>84.546480500000001</v>
      </c>
      <c r="J267">
        <v>0</v>
      </c>
      <c r="K267" s="5"/>
    </row>
    <row r="268" spans="1:13" x14ac:dyDescent="0.3">
      <c r="A268" t="s">
        <v>784</v>
      </c>
      <c r="B268" t="s">
        <v>22</v>
      </c>
      <c r="C268" t="s">
        <v>793</v>
      </c>
      <c r="D268" t="s">
        <v>307</v>
      </c>
      <c r="E268" t="s">
        <v>764</v>
      </c>
      <c r="F268" t="s">
        <v>764</v>
      </c>
      <c r="G268" t="s">
        <v>764</v>
      </c>
      <c r="H268">
        <v>22.57</v>
      </c>
      <c r="I268">
        <v>85.58</v>
      </c>
      <c r="J268">
        <v>0</v>
      </c>
      <c r="K268" s="5"/>
    </row>
    <row r="269" spans="1:13" x14ac:dyDescent="0.3">
      <c r="A269" t="s">
        <v>784</v>
      </c>
      <c r="B269" t="s">
        <v>23</v>
      </c>
      <c r="C269" t="s">
        <v>794</v>
      </c>
      <c r="D269" t="s">
        <v>308</v>
      </c>
      <c r="E269" t="s">
        <v>764</v>
      </c>
      <c r="F269" t="s">
        <v>764</v>
      </c>
      <c r="G269" t="s">
        <v>764</v>
      </c>
      <c r="H269">
        <v>16.2</v>
      </c>
      <c r="I269">
        <v>75.75</v>
      </c>
      <c r="J269" t="s">
        <v>1083</v>
      </c>
      <c r="K269" s="5" t="s">
        <v>868</v>
      </c>
      <c r="L269" t="s">
        <v>794</v>
      </c>
      <c r="M269">
        <f>IF(L269=C269,1,0)</f>
        <v>1</v>
      </c>
    </row>
    <row r="270" spans="1:13" x14ac:dyDescent="0.3">
      <c r="A270" t="s">
        <v>784</v>
      </c>
      <c r="B270" t="s">
        <v>23</v>
      </c>
      <c r="C270" t="s">
        <v>794</v>
      </c>
      <c r="D270" t="s">
        <v>309</v>
      </c>
      <c r="E270" t="s">
        <v>772</v>
      </c>
      <c r="F270" t="s">
        <v>772</v>
      </c>
      <c r="G270" t="s">
        <v>772</v>
      </c>
      <c r="H270">
        <v>12.97</v>
      </c>
      <c r="I270">
        <v>77.63</v>
      </c>
      <c r="J270">
        <v>0</v>
      </c>
      <c r="K270" s="5"/>
    </row>
    <row r="271" spans="1:13" x14ac:dyDescent="0.3">
      <c r="A271" t="s">
        <v>784</v>
      </c>
      <c r="B271" t="s">
        <v>23</v>
      </c>
      <c r="C271" t="s">
        <v>794</v>
      </c>
      <c r="D271" t="s">
        <v>310</v>
      </c>
      <c r="E271" t="s">
        <v>772</v>
      </c>
      <c r="F271" t="s">
        <v>772</v>
      </c>
      <c r="G271" t="s">
        <v>772</v>
      </c>
      <c r="H271">
        <v>13.62</v>
      </c>
      <c r="I271">
        <v>77.98</v>
      </c>
      <c r="J271">
        <v>0</v>
      </c>
      <c r="K271" s="5"/>
    </row>
    <row r="272" spans="1:13" x14ac:dyDescent="0.3">
      <c r="A272" t="s">
        <v>784</v>
      </c>
      <c r="B272" t="s">
        <v>23</v>
      </c>
      <c r="C272" t="s">
        <v>794</v>
      </c>
      <c r="D272" t="s">
        <v>311</v>
      </c>
      <c r="E272" t="s">
        <v>764</v>
      </c>
      <c r="F272" t="s">
        <v>764</v>
      </c>
      <c r="G272" t="s">
        <v>764</v>
      </c>
      <c r="H272">
        <v>15.87</v>
      </c>
      <c r="I272">
        <v>74.569999999999993</v>
      </c>
      <c r="J272" t="s">
        <v>1084</v>
      </c>
      <c r="K272" s="5" t="s">
        <v>869</v>
      </c>
      <c r="L272" t="s">
        <v>794</v>
      </c>
      <c r="M272">
        <f>IF(L272=C272,1,0)</f>
        <v>1</v>
      </c>
    </row>
    <row r="273" spans="1:13" x14ac:dyDescent="0.3">
      <c r="A273" t="s">
        <v>784</v>
      </c>
      <c r="B273" t="s">
        <v>23</v>
      </c>
      <c r="C273" t="s">
        <v>794</v>
      </c>
      <c r="D273" t="s">
        <v>312</v>
      </c>
      <c r="E273" t="s">
        <v>764</v>
      </c>
      <c r="F273" t="s">
        <v>764</v>
      </c>
      <c r="G273" t="s">
        <v>764</v>
      </c>
      <c r="H273">
        <v>15.15</v>
      </c>
      <c r="I273">
        <v>76.92</v>
      </c>
      <c r="J273" t="s">
        <v>1085</v>
      </c>
      <c r="K273" s="5" t="s">
        <v>870</v>
      </c>
      <c r="L273" t="s">
        <v>794</v>
      </c>
      <c r="M273">
        <f>IF(L273=C273,1,0)</f>
        <v>1</v>
      </c>
    </row>
    <row r="274" spans="1:13" x14ac:dyDescent="0.3">
      <c r="A274" t="s">
        <v>784</v>
      </c>
      <c r="B274" t="s">
        <v>23</v>
      </c>
      <c r="C274" t="s">
        <v>794</v>
      </c>
      <c r="D274" t="s">
        <v>313</v>
      </c>
      <c r="E274" t="s">
        <v>764</v>
      </c>
      <c r="F274" t="s">
        <v>764</v>
      </c>
      <c r="G274" t="s">
        <v>764</v>
      </c>
      <c r="H274">
        <v>17.920000000000002</v>
      </c>
      <c r="I274">
        <v>77.650000000000006</v>
      </c>
      <c r="J274" t="s">
        <v>1086</v>
      </c>
      <c r="K274" s="5" t="s">
        <v>871</v>
      </c>
      <c r="L274" t="s">
        <v>794</v>
      </c>
      <c r="M274">
        <f>IF(L274=C274,1,0)</f>
        <v>1</v>
      </c>
    </row>
    <row r="275" spans="1:13" x14ac:dyDescent="0.3">
      <c r="A275" t="s">
        <v>784</v>
      </c>
      <c r="B275" t="s">
        <v>23</v>
      </c>
      <c r="C275" t="s">
        <v>794</v>
      </c>
      <c r="D275" t="s">
        <v>314</v>
      </c>
      <c r="E275" t="s">
        <v>764</v>
      </c>
      <c r="F275" t="s">
        <v>764</v>
      </c>
      <c r="G275" t="s">
        <v>764</v>
      </c>
      <c r="H275">
        <v>11.93</v>
      </c>
      <c r="I275">
        <v>77</v>
      </c>
      <c r="J275">
        <v>0</v>
      </c>
      <c r="K275" s="5"/>
    </row>
    <row r="276" spans="1:13" x14ac:dyDescent="0.3">
      <c r="A276" t="s">
        <v>784</v>
      </c>
      <c r="B276" t="s">
        <v>23</v>
      </c>
      <c r="C276" t="s">
        <v>794</v>
      </c>
      <c r="D276" t="s">
        <v>315</v>
      </c>
      <c r="E276" t="s">
        <v>772</v>
      </c>
      <c r="F276" t="s">
        <v>772</v>
      </c>
      <c r="G276" t="s">
        <v>772</v>
      </c>
      <c r="H276">
        <v>13.43</v>
      </c>
      <c r="I276">
        <v>77.77</v>
      </c>
      <c r="J276">
        <v>0</v>
      </c>
      <c r="K276" s="5"/>
    </row>
    <row r="277" spans="1:13" x14ac:dyDescent="0.3">
      <c r="A277" t="s">
        <v>784</v>
      </c>
      <c r="B277" t="s">
        <v>23</v>
      </c>
      <c r="C277" t="s">
        <v>794</v>
      </c>
      <c r="D277" t="s">
        <v>316</v>
      </c>
      <c r="E277" t="s">
        <v>764</v>
      </c>
      <c r="F277" t="s">
        <v>764</v>
      </c>
      <c r="G277" t="s">
        <v>764</v>
      </c>
      <c r="H277">
        <v>13.3</v>
      </c>
      <c r="I277">
        <v>75.819999999999993</v>
      </c>
      <c r="J277">
        <v>0</v>
      </c>
      <c r="K277" s="5"/>
    </row>
    <row r="278" spans="1:13" x14ac:dyDescent="0.3">
      <c r="A278" t="s">
        <v>784</v>
      </c>
      <c r="B278" t="s">
        <v>23</v>
      </c>
      <c r="C278" t="s">
        <v>794</v>
      </c>
      <c r="D278" t="s">
        <v>317</v>
      </c>
      <c r="E278" t="s">
        <v>764</v>
      </c>
      <c r="F278" t="s">
        <v>764</v>
      </c>
      <c r="G278" t="s">
        <v>764</v>
      </c>
      <c r="H278">
        <v>14.23</v>
      </c>
      <c r="I278">
        <v>76.430000000000007</v>
      </c>
      <c r="J278" t="s">
        <v>1087</v>
      </c>
      <c r="K278" s="5" t="s">
        <v>872</v>
      </c>
      <c r="L278" t="s">
        <v>794</v>
      </c>
      <c r="M278">
        <f>IF(L278=C278,1,0)</f>
        <v>1</v>
      </c>
    </row>
    <row r="279" spans="1:13" x14ac:dyDescent="0.3">
      <c r="A279" t="s">
        <v>784</v>
      </c>
      <c r="B279" t="s">
        <v>23</v>
      </c>
      <c r="C279" t="s">
        <v>794</v>
      </c>
      <c r="D279" t="s">
        <v>318</v>
      </c>
      <c r="E279" t="s">
        <v>764</v>
      </c>
      <c r="F279" t="s">
        <v>764</v>
      </c>
      <c r="G279" t="s">
        <v>764</v>
      </c>
      <c r="H279">
        <v>13.43</v>
      </c>
      <c r="I279">
        <v>75.38</v>
      </c>
      <c r="J279">
        <v>0</v>
      </c>
      <c r="K279" s="5"/>
    </row>
    <row r="280" spans="1:13" x14ac:dyDescent="0.3">
      <c r="A280" t="s">
        <v>784</v>
      </c>
      <c r="B280" t="s">
        <v>23</v>
      </c>
      <c r="C280" t="s">
        <v>794</v>
      </c>
      <c r="D280" t="s">
        <v>319</v>
      </c>
      <c r="E280" t="s">
        <v>764</v>
      </c>
      <c r="F280" t="s">
        <v>764</v>
      </c>
      <c r="G280" t="s">
        <v>764</v>
      </c>
      <c r="H280">
        <v>14.52</v>
      </c>
      <c r="I280">
        <v>75.97</v>
      </c>
      <c r="J280">
        <v>0</v>
      </c>
      <c r="K280" s="5"/>
    </row>
    <row r="281" spans="1:13" x14ac:dyDescent="0.3">
      <c r="A281" t="s">
        <v>784</v>
      </c>
      <c r="B281" t="s">
        <v>23</v>
      </c>
      <c r="C281" t="s">
        <v>794</v>
      </c>
      <c r="D281" t="s">
        <v>320</v>
      </c>
      <c r="E281" t="s">
        <v>764</v>
      </c>
      <c r="F281" t="s">
        <v>764</v>
      </c>
      <c r="G281" t="s">
        <v>764</v>
      </c>
      <c r="H281">
        <v>15.45</v>
      </c>
      <c r="I281">
        <v>75.08</v>
      </c>
      <c r="J281" t="s">
        <v>1088</v>
      </c>
      <c r="K281" s="5" t="s">
        <v>873</v>
      </c>
      <c r="L281" t="s">
        <v>794</v>
      </c>
      <c r="M281">
        <f>IF(L281=C281,1,0)</f>
        <v>1</v>
      </c>
    </row>
    <row r="282" spans="1:13" x14ac:dyDescent="0.3">
      <c r="A282" t="s">
        <v>784</v>
      </c>
      <c r="B282" t="s">
        <v>23</v>
      </c>
      <c r="C282" t="s">
        <v>794</v>
      </c>
      <c r="D282" t="s">
        <v>321</v>
      </c>
      <c r="E282" t="s">
        <v>764</v>
      </c>
      <c r="F282" t="s">
        <v>764</v>
      </c>
      <c r="G282" t="s">
        <v>764</v>
      </c>
      <c r="H282">
        <v>15.42</v>
      </c>
      <c r="I282">
        <v>75.7</v>
      </c>
      <c r="J282" t="s">
        <v>1089</v>
      </c>
      <c r="K282" s="5" t="s">
        <v>874</v>
      </c>
      <c r="L282" t="s">
        <v>794</v>
      </c>
      <c r="M282">
        <f>IF(L282=C282,1,0)</f>
        <v>1</v>
      </c>
    </row>
    <row r="283" spans="1:13" x14ac:dyDescent="0.3">
      <c r="A283" t="s">
        <v>784</v>
      </c>
      <c r="B283" t="s">
        <v>23</v>
      </c>
      <c r="C283" t="s">
        <v>794</v>
      </c>
      <c r="D283" t="s">
        <v>322</v>
      </c>
      <c r="E283" t="s">
        <v>764</v>
      </c>
      <c r="F283" t="s">
        <v>764</v>
      </c>
      <c r="G283" t="s">
        <v>764</v>
      </c>
      <c r="H283">
        <v>17.32</v>
      </c>
      <c r="I283">
        <v>76.900000000000006</v>
      </c>
      <c r="J283" t="s">
        <v>1090</v>
      </c>
      <c r="K283" s="5" t="s">
        <v>875</v>
      </c>
      <c r="L283" t="s">
        <v>794</v>
      </c>
      <c r="M283">
        <f>IF(L283=C283,1,0)</f>
        <v>1</v>
      </c>
    </row>
    <row r="284" spans="1:13" x14ac:dyDescent="0.3">
      <c r="A284" t="s">
        <v>784</v>
      </c>
      <c r="B284" t="s">
        <v>23</v>
      </c>
      <c r="C284" t="s">
        <v>794</v>
      </c>
      <c r="D284" t="s">
        <v>323</v>
      </c>
      <c r="E284" t="s">
        <v>764</v>
      </c>
      <c r="F284" t="s">
        <v>764</v>
      </c>
      <c r="G284" t="s">
        <v>764</v>
      </c>
      <c r="H284">
        <v>13.02</v>
      </c>
      <c r="I284">
        <v>76.17</v>
      </c>
      <c r="J284" t="s">
        <v>1091</v>
      </c>
      <c r="K284" s="5" t="s">
        <v>876</v>
      </c>
      <c r="L284" t="s">
        <v>794</v>
      </c>
      <c r="M284">
        <f>IF(L284=C284,1,0)</f>
        <v>1</v>
      </c>
    </row>
    <row r="285" spans="1:13" x14ac:dyDescent="0.3">
      <c r="A285" t="s">
        <v>784</v>
      </c>
      <c r="B285" t="s">
        <v>23</v>
      </c>
      <c r="C285" t="s">
        <v>794</v>
      </c>
      <c r="D285" t="s">
        <v>324</v>
      </c>
      <c r="E285" t="s">
        <v>764</v>
      </c>
      <c r="F285" t="s">
        <v>764</v>
      </c>
      <c r="G285" t="s">
        <v>764</v>
      </c>
      <c r="H285">
        <v>14.47</v>
      </c>
      <c r="I285">
        <v>75.63</v>
      </c>
      <c r="J285" t="s">
        <v>1092</v>
      </c>
      <c r="K285" s="5" t="s">
        <v>877</v>
      </c>
      <c r="L285" t="s">
        <v>794</v>
      </c>
      <c r="M285">
        <f>IF(L285=C285,1,0)</f>
        <v>1</v>
      </c>
    </row>
    <row r="286" spans="1:13" x14ac:dyDescent="0.3">
      <c r="A286" t="s">
        <v>784</v>
      </c>
      <c r="B286" t="s">
        <v>23</v>
      </c>
      <c r="C286" t="s">
        <v>794</v>
      </c>
      <c r="D286" t="s">
        <v>325</v>
      </c>
      <c r="E286" t="s">
        <v>766</v>
      </c>
      <c r="F286" t="s">
        <v>766</v>
      </c>
      <c r="G286" t="s">
        <v>766</v>
      </c>
      <c r="H286">
        <v>12.32</v>
      </c>
      <c r="I286">
        <v>75.88</v>
      </c>
      <c r="J286">
        <v>0</v>
      </c>
      <c r="K286" s="5"/>
    </row>
    <row r="287" spans="1:13" x14ac:dyDescent="0.3">
      <c r="A287" t="s">
        <v>784</v>
      </c>
      <c r="B287" t="s">
        <v>23</v>
      </c>
      <c r="C287" t="s">
        <v>794</v>
      </c>
      <c r="D287" t="s">
        <v>326</v>
      </c>
      <c r="E287" t="s">
        <v>764</v>
      </c>
      <c r="F287" t="s">
        <v>764</v>
      </c>
      <c r="G287" t="s">
        <v>764</v>
      </c>
      <c r="H287">
        <v>13.15</v>
      </c>
      <c r="I287">
        <v>78.180000000000007</v>
      </c>
      <c r="J287" t="s">
        <v>1093</v>
      </c>
      <c r="K287" s="5" t="s">
        <v>878</v>
      </c>
      <c r="L287" t="s">
        <v>794</v>
      </c>
      <c r="M287">
        <f>IF(L287=C287,1,0)</f>
        <v>1</v>
      </c>
    </row>
    <row r="288" spans="1:13" x14ac:dyDescent="0.3">
      <c r="A288" t="s">
        <v>784</v>
      </c>
      <c r="B288" t="s">
        <v>23</v>
      </c>
      <c r="C288" t="s">
        <v>794</v>
      </c>
      <c r="D288" t="s">
        <v>327</v>
      </c>
      <c r="E288" t="s">
        <v>764</v>
      </c>
      <c r="F288" t="s">
        <v>764</v>
      </c>
      <c r="G288" t="s">
        <v>764</v>
      </c>
      <c r="H288">
        <v>15.33</v>
      </c>
      <c r="I288">
        <v>76.22</v>
      </c>
      <c r="J288" t="s">
        <v>1094</v>
      </c>
      <c r="K288" s="5" t="s">
        <v>879</v>
      </c>
      <c r="L288" t="s">
        <v>794</v>
      </c>
      <c r="M288">
        <f>IF(L288=C288,1,0)</f>
        <v>1</v>
      </c>
    </row>
    <row r="289" spans="1:13" x14ac:dyDescent="0.3">
      <c r="A289" t="s">
        <v>784</v>
      </c>
      <c r="B289" t="s">
        <v>23</v>
      </c>
      <c r="C289" t="s">
        <v>794</v>
      </c>
      <c r="D289" t="s">
        <v>328</v>
      </c>
      <c r="E289" t="s">
        <v>773</v>
      </c>
      <c r="F289" t="s">
        <v>764</v>
      </c>
      <c r="G289" t="s">
        <v>1032</v>
      </c>
      <c r="H289">
        <v>12.22</v>
      </c>
      <c r="I289">
        <v>76.33</v>
      </c>
      <c r="J289" t="s">
        <v>1095</v>
      </c>
      <c r="K289" s="5" t="s">
        <v>880</v>
      </c>
      <c r="L289" t="s">
        <v>794</v>
      </c>
      <c r="M289">
        <f>IF(L289=C289,1,0)</f>
        <v>1</v>
      </c>
    </row>
    <row r="290" spans="1:13" x14ac:dyDescent="0.3">
      <c r="A290" t="s">
        <v>784</v>
      </c>
      <c r="B290" t="s">
        <v>23</v>
      </c>
      <c r="C290" t="s">
        <v>794</v>
      </c>
      <c r="D290" t="s">
        <v>329</v>
      </c>
      <c r="E290" t="s">
        <v>764</v>
      </c>
      <c r="F290" t="s">
        <v>764</v>
      </c>
      <c r="G290" t="s">
        <v>764</v>
      </c>
      <c r="H290">
        <v>12.3</v>
      </c>
      <c r="I290">
        <v>76.7</v>
      </c>
      <c r="J290">
        <v>0</v>
      </c>
      <c r="K290" s="5"/>
    </row>
    <row r="291" spans="1:13" x14ac:dyDescent="0.3">
      <c r="A291" t="s">
        <v>784</v>
      </c>
      <c r="B291" t="s">
        <v>23</v>
      </c>
      <c r="C291" t="s">
        <v>794</v>
      </c>
      <c r="D291" t="s">
        <v>330</v>
      </c>
      <c r="E291" t="s">
        <v>764</v>
      </c>
      <c r="F291" t="s">
        <v>764</v>
      </c>
      <c r="G291" t="s">
        <v>764</v>
      </c>
      <c r="H291">
        <v>16.350000000000001</v>
      </c>
      <c r="I291">
        <v>77.58</v>
      </c>
      <c r="J291" t="s">
        <v>1096</v>
      </c>
      <c r="K291" s="5" t="s">
        <v>881</v>
      </c>
      <c r="L291" t="s">
        <v>794</v>
      </c>
      <c r="M291">
        <f>IF(L291=C291,1,0)</f>
        <v>1</v>
      </c>
    </row>
    <row r="292" spans="1:13" x14ac:dyDescent="0.3">
      <c r="A292" t="s">
        <v>784</v>
      </c>
      <c r="B292" t="s">
        <v>23</v>
      </c>
      <c r="C292" t="s">
        <v>794</v>
      </c>
      <c r="D292" t="s">
        <v>331</v>
      </c>
      <c r="E292" t="s">
        <v>764</v>
      </c>
      <c r="F292" t="s">
        <v>764</v>
      </c>
      <c r="G292" t="s">
        <v>764</v>
      </c>
      <c r="H292">
        <v>12.9</v>
      </c>
      <c r="I292">
        <v>78.03</v>
      </c>
      <c r="J292">
        <v>0</v>
      </c>
      <c r="K292" s="5"/>
    </row>
    <row r="293" spans="1:13" x14ac:dyDescent="0.3">
      <c r="A293" t="s">
        <v>784</v>
      </c>
      <c r="B293" t="s">
        <v>23</v>
      </c>
      <c r="C293" t="s">
        <v>794</v>
      </c>
      <c r="D293" t="s">
        <v>332</v>
      </c>
      <c r="E293" t="s">
        <v>764</v>
      </c>
      <c r="F293" t="s">
        <v>764</v>
      </c>
      <c r="G293" t="s">
        <v>764</v>
      </c>
      <c r="H293">
        <v>13.93</v>
      </c>
      <c r="I293">
        <v>75.63</v>
      </c>
      <c r="J293" t="s">
        <v>1097</v>
      </c>
      <c r="K293" s="5" t="s">
        <v>882</v>
      </c>
      <c r="L293" t="s">
        <v>794</v>
      </c>
      <c r="M293">
        <f>IF(L293=C293,1,0)</f>
        <v>1</v>
      </c>
    </row>
    <row r="294" spans="1:13" x14ac:dyDescent="0.3">
      <c r="A294" t="s">
        <v>784</v>
      </c>
      <c r="B294" t="s">
        <v>23</v>
      </c>
      <c r="C294" t="s">
        <v>794</v>
      </c>
      <c r="D294" t="s">
        <v>333</v>
      </c>
      <c r="E294" t="s">
        <v>764</v>
      </c>
      <c r="F294" t="s">
        <v>764</v>
      </c>
      <c r="G294" t="s">
        <v>764</v>
      </c>
      <c r="H294">
        <v>13.33</v>
      </c>
      <c r="I294">
        <v>77.13</v>
      </c>
      <c r="J294">
        <v>0</v>
      </c>
      <c r="K294" s="5"/>
    </row>
    <row r="295" spans="1:13" x14ac:dyDescent="0.3">
      <c r="A295" t="s">
        <v>784</v>
      </c>
      <c r="B295" t="s">
        <v>23</v>
      </c>
      <c r="C295" t="s">
        <v>794</v>
      </c>
      <c r="D295" t="s">
        <v>334</v>
      </c>
      <c r="E295" t="s">
        <v>764</v>
      </c>
      <c r="F295" t="s">
        <v>764</v>
      </c>
      <c r="G295" t="s">
        <v>764</v>
      </c>
      <c r="H295">
        <v>13.33</v>
      </c>
      <c r="I295">
        <v>74.75</v>
      </c>
      <c r="J295">
        <v>0</v>
      </c>
      <c r="K295" s="5"/>
    </row>
    <row r="296" spans="1:13" x14ac:dyDescent="0.3">
      <c r="A296" t="s">
        <v>784</v>
      </c>
      <c r="B296" t="s">
        <v>23</v>
      </c>
      <c r="C296" t="s">
        <v>794</v>
      </c>
      <c r="D296" t="s">
        <v>335</v>
      </c>
      <c r="E296" t="s">
        <v>764</v>
      </c>
      <c r="F296" t="s">
        <v>764</v>
      </c>
      <c r="G296" t="s">
        <v>764</v>
      </c>
      <c r="H296">
        <v>13.92</v>
      </c>
      <c r="I296">
        <v>75.08</v>
      </c>
      <c r="J296">
        <v>0</v>
      </c>
      <c r="K296" s="5"/>
    </row>
    <row r="297" spans="1:13" x14ac:dyDescent="0.3">
      <c r="A297" t="s">
        <v>784</v>
      </c>
      <c r="B297" t="s">
        <v>23</v>
      </c>
      <c r="C297" t="s">
        <v>794</v>
      </c>
      <c r="D297" t="s">
        <v>336</v>
      </c>
      <c r="E297" t="s">
        <v>764</v>
      </c>
      <c r="F297" t="s">
        <v>764</v>
      </c>
      <c r="G297" t="s">
        <v>764</v>
      </c>
      <c r="H297">
        <v>16.814415</v>
      </c>
      <c r="I297" s="7">
        <v>75.893385600000002</v>
      </c>
      <c r="J297">
        <v>0</v>
      </c>
      <c r="K297" s="5"/>
    </row>
    <row r="298" spans="1:13" x14ac:dyDescent="0.3">
      <c r="A298" t="s">
        <v>784</v>
      </c>
      <c r="B298" t="s">
        <v>23</v>
      </c>
      <c r="C298" t="s">
        <v>794</v>
      </c>
      <c r="D298" t="s">
        <v>337</v>
      </c>
      <c r="E298" t="s">
        <v>764</v>
      </c>
      <c r="F298" t="s">
        <v>764</v>
      </c>
      <c r="G298" t="s">
        <v>764</v>
      </c>
      <c r="H298">
        <v>12.97</v>
      </c>
      <c r="I298">
        <v>77.55</v>
      </c>
      <c r="J298">
        <v>0</v>
      </c>
      <c r="K298" s="5"/>
    </row>
    <row r="299" spans="1:13" x14ac:dyDescent="0.3">
      <c r="A299" t="s">
        <v>784</v>
      </c>
      <c r="B299" t="s">
        <v>24</v>
      </c>
      <c r="C299" t="s">
        <v>795</v>
      </c>
      <c r="D299" t="s">
        <v>338</v>
      </c>
      <c r="E299" t="s">
        <v>764</v>
      </c>
      <c r="F299" t="s">
        <v>764</v>
      </c>
      <c r="G299" t="s">
        <v>764</v>
      </c>
      <c r="H299">
        <v>9.82</v>
      </c>
      <c r="I299">
        <v>76.53</v>
      </c>
      <c r="J299">
        <v>0</v>
      </c>
      <c r="K299" s="5"/>
    </row>
    <row r="300" spans="1:13" x14ac:dyDescent="0.3">
      <c r="A300" t="s">
        <v>784</v>
      </c>
      <c r="B300" t="s">
        <v>24</v>
      </c>
      <c r="C300" t="s">
        <v>795</v>
      </c>
      <c r="D300" t="s">
        <v>339</v>
      </c>
      <c r="E300" t="s">
        <v>764</v>
      </c>
      <c r="F300" t="s">
        <v>764</v>
      </c>
      <c r="G300" t="s">
        <v>764</v>
      </c>
      <c r="H300">
        <v>10</v>
      </c>
      <c r="I300">
        <v>76.25</v>
      </c>
      <c r="J300">
        <v>0</v>
      </c>
      <c r="K300" s="5"/>
    </row>
    <row r="301" spans="1:13" x14ac:dyDescent="0.3">
      <c r="A301" t="s">
        <v>784</v>
      </c>
      <c r="B301" t="s">
        <v>24</v>
      </c>
      <c r="C301" t="s">
        <v>795</v>
      </c>
      <c r="D301" t="s">
        <v>340</v>
      </c>
      <c r="E301" t="s">
        <v>764</v>
      </c>
      <c r="F301" t="s">
        <v>764</v>
      </c>
      <c r="G301" t="s">
        <v>764</v>
      </c>
      <c r="H301">
        <v>9.25</v>
      </c>
      <c r="I301">
        <v>77.42</v>
      </c>
      <c r="J301">
        <v>0</v>
      </c>
      <c r="K301" s="5"/>
    </row>
    <row r="302" spans="1:13" x14ac:dyDescent="0.3">
      <c r="A302" t="s">
        <v>784</v>
      </c>
      <c r="B302" t="s">
        <v>24</v>
      </c>
      <c r="C302" t="s">
        <v>795</v>
      </c>
      <c r="D302" t="s">
        <v>341</v>
      </c>
      <c r="E302" t="s">
        <v>764</v>
      </c>
      <c r="F302" t="s">
        <v>764</v>
      </c>
      <c r="G302" t="s">
        <v>764</v>
      </c>
      <c r="H302">
        <v>11.87</v>
      </c>
      <c r="I302">
        <v>75.42</v>
      </c>
      <c r="J302">
        <v>0</v>
      </c>
      <c r="K302" s="5"/>
    </row>
    <row r="303" spans="1:13" x14ac:dyDescent="0.3">
      <c r="A303" t="s">
        <v>784</v>
      </c>
      <c r="B303" t="s">
        <v>24</v>
      </c>
      <c r="C303" t="s">
        <v>795</v>
      </c>
      <c r="D303" t="s">
        <v>342</v>
      </c>
      <c r="E303" t="s">
        <v>764</v>
      </c>
      <c r="F303" t="s">
        <v>764</v>
      </c>
      <c r="G303" t="s">
        <v>764</v>
      </c>
      <c r="H303">
        <v>12.5</v>
      </c>
      <c r="I303">
        <v>75</v>
      </c>
      <c r="J303">
        <v>0</v>
      </c>
      <c r="K303" s="5"/>
    </row>
    <row r="304" spans="1:13" x14ac:dyDescent="0.3">
      <c r="A304" t="s">
        <v>784</v>
      </c>
      <c r="B304" t="s">
        <v>24</v>
      </c>
      <c r="C304" t="s">
        <v>795</v>
      </c>
      <c r="D304" t="s">
        <v>343</v>
      </c>
      <c r="E304" t="s">
        <v>764</v>
      </c>
      <c r="F304" t="s">
        <v>764</v>
      </c>
      <c r="G304" t="s">
        <v>764</v>
      </c>
      <c r="H304">
        <v>11.87</v>
      </c>
      <c r="I304">
        <v>75.42</v>
      </c>
      <c r="J304">
        <v>0</v>
      </c>
      <c r="K304" s="5"/>
    </row>
    <row r="305" spans="1:13" x14ac:dyDescent="0.3">
      <c r="A305" t="s">
        <v>784</v>
      </c>
      <c r="B305" t="s">
        <v>24</v>
      </c>
      <c r="C305" t="s">
        <v>795</v>
      </c>
      <c r="D305" t="s">
        <v>344</v>
      </c>
      <c r="E305" t="s">
        <v>764</v>
      </c>
      <c r="F305" t="s">
        <v>764</v>
      </c>
      <c r="G305" t="s">
        <v>764</v>
      </c>
      <c r="H305">
        <v>9.6</v>
      </c>
      <c r="I305">
        <v>76.569999999999993</v>
      </c>
      <c r="J305" t="s">
        <v>1098</v>
      </c>
      <c r="K305" s="5" t="s">
        <v>883</v>
      </c>
      <c r="L305" t="s">
        <v>795</v>
      </c>
      <c r="M305">
        <f>IF(L305=C305,1,0)</f>
        <v>1</v>
      </c>
    </row>
    <row r="306" spans="1:13" x14ac:dyDescent="0.3">
      <c r="A306" t="s">
        <v>784</v>
      </c>
      <c r="B306" t="s">
        <v>24</v>
      </c>
      <c r="C306" t="s">
        <v>795</v>
      </c>
      <c r="D306" t="s">
        <v>345</v>
      </c>
      <c r="E306" t="s">
        <v>764</v>
      </c>
      <c r="F306" t="s">
        <v>764</v>
      </c>
      <c r="G306" t="s">
        <v>764</v>
      </c>
      <c r="H306">
        <v>11.25</v>
      </c>
      <c r="I306">
        <v>75.77</v>
      </c>
      <c r="J306" t="s">
        <v>1099</v>
      </c>
      <c r="K306" s="5" t="s">
        <v>884</v>
      </c>
      <c r="L306" t="s">
        <v>795</v>
      </c>
      <c r="M306">
        <f>IF(L306=C306,1,0)</f>
        <v>1</v>
      </c>
    </row>
    <row r="307" spans="1:13" x14ac:dyDescent="0.3">
      <c r="A307" t="s">
        <v>784</v>
      </c>
      <c r="B307" t="s">
        <v>24</v>
      </c>
      <c r="C307" t="s">
        <v>795</v>
      </c>
      <c r="D307" t="s">
        <v>346</v>
      </c>
      <c r="E307" t="s">
        <v>764</v>
      </c>
      <c r="F307" t="s">
        <v>764</v>
      </c>
      <c r="G307" t="s">
        <v>764</v>
      </c>
      <c r="H307">
        <v>11.1</v>
      </c>
      <c r="I307">
        <v>75.77</v>
      </c>
      <c r="J307">
        <v>0</v>
      </c>
      <c r="K307" s="5"/>
    </row>
    <row r="308" spans="1:13" x14ac:dyDescent="0.3">
      <c r="A308" t="s">
        <v>784</v>
      </c>
      <c r="B308" t="s">
        <v>24</v>
      </c>
      <c r="C308" t="s">
        <v>795</v>
      </c>
      <c r="D308" t="s">
        <v>347</v>
      </c>
      <c r="E308" t="s">
        <v>764</v>
      </c>
      <c r="F308" t="s">
        <v>764</v>
      </c>
      <c r="G308" t="s">
        <v>764</v>
      </c>
      <c r="H308">
        <v>11.28</v>
      </c>
      <c r="I308">
        <v>77.08</v>
      </c>
      <c r="J308" t="s">
        <v>1100</v>
      </c>
      <c r="K308" s="5" t="s">
        <v>885</v>
      </c>
      <c r="L308" t="s">
        <v>795</v>
      </c>
      <c r="M308">
        <f>IF(L308=C308,1,0)</f>
        <v>1</v>
      </c>
    </row>
    <row r="309" spans="1:13" x14ac:dyDescent="0.3">
      <c r="A309" t="s">
        <v>784</v>
      </c>
      <c r="B309" t="s">
        <v>24</v>
      </c>
      <c r="C309" t="s">
        <v>795</v>
      </c>
      <c r="D309" t="s">
        <v>348</v>
      </c>
      <c r="E309" t="s">
        <v>764</v>
      </c>
      <c r="F309" t="s">
        <v>764</v>
      </c>
      <c r="G309" t="s">
        <v>764</v>
      </c>
      <c r="H309">
        <v>9.27</v>
      </c>
      <c r="I309">
        <v>76.77</v>
      </c>
      <c r="J309">
        <v>0</v>
      </c>
      <c r="K309" s="5"/>
    </row>
    <row r="310" spans="1:13" x14ac:dyDescent="0.3">
      <c r="A310" t="s">
        <v>784</v>
      </c>
      <c r="B310" t="s">
        <v>24</v>
      </c>
      <c r="C310" t="s">
        <v>795</v>
      </c>
      <c r="D310" t="s">
        <v>349</v>
      </c>
      <c r="E310" t="s">
        <v>764</v>
      </c>
      <c r="F310" t="s">
        <v>764</v>
      </c>
      <c r="G310" t="s">
        <v>764</v>
      </c>
      <c r="H310">
        <v>8.48</v>
      </c>
      <c r="I310">
        <v>76.98</v>
      </c>
      <c r="J310" t="s">
        <v>1101</v>
      </c>
      <c r="K310" s="5" t="s">
        <v>886</v>
      </c>
      <c r="L310" t="s">
        <v>795</v>
      </c>
      <c r="M310">
        <f>IF(L310=C310,1,0)</f>
        <v>1</v>
      </c>
    </row>
    <row r="311" spans="1:13" x14ac:dyDescent="0.3">
      <c r="A311" t="s">
        <v>784</v>
      </c>
      <c r="B311" t="s">
        <v>24</v>
      </c>
      <c r="C311" t="s">
        <v>795</v>
      </c>
      <c r="D311" t="s">
        <v>350</v>
      </c>
      <c r="E311" t="s">
        <v>764</v>
      </c>
      <c r="F311" t="s">
        <v>764</v>
      </c>
      <c r="G311" t="s">
        <v>764</v>
      </c>
      <c r="H311">
        <v>10.5</v>
      </c>
      <c r="I311">
        <v>76.25</v>
      </c>
      <c r="J311" t="s">
        <v>1102</v>
      </c>
      <c r="K311" s="5" t="s">
        <v>887</v>
      </c>
      <c r="L311" t="s">
        <v>795</v>
      </c>
      <c r="M311">
        <f>IF(L311=C311,1,0)</f>
        <v>1</v>
      </c>
    </row>
    <row r="312" spans="1:13" x14ac:dyDescent="0.3">
      <c r="A312" t="s">
        <v>784</v>
      </c>
      <c r="B312" t="s">
        <v>24</v>
      </c>
      <c r="C312" t="s">
        <v>795</v>
      </c>
      <c r="D312" t="s">
        <v>351</v>
      </c>
      <c r="E312" t="s">
        <v>764</v>
      </c>
      <c r="F312" t="s">
        <v>764</v>
      </c>
      <c r="G312" t="s">
        <v>764</v>
      </c>
      <c r="H312">
        <v>11.45</v>
      </c>
      <c r="I312">
        <v>74.87</v>
      </c>
      <c r="J312">
        <v>0</v>
      </c>
      <c r="K312" s="5"/>
    </row>
    <row r="313" spans="1:13" x14ac:dyDescent="0.3">
      <c r="A313" t="s">
        <v>784</v>
      </c>
      <c r="B313" t="s">
        <v>25</v>
      </c>
      <c r="C313" t="s">
        <v>353</v>
      </c>
      <c r="D313" t="s">
        <v>352</v>
      </c>
      <c r="E313" t="s">
        <v>766</v>
      </c>
      <c r="F313" t="s">
        <v>766</v>
      </c>
      <c r="G313" t="s">
        <v>766</v>
      </c>
      <c r="H313">
        <v>34.5593048</v>
      </c>
      <c r="I313" s="7">
        <v>76.125576699999996</v>
      </c>
      <c r="J313">
        <v>0</v>
      </c>
      <c r="K313" s="5"/>
    </row>
    <row r="314" spans="1:13" x14ac:dyDescent="0.3">
      <c r="A314" t="s">
        <v>784</v>
      </c>
      <c r="B314" t="s">
        <v>25</v>
      </c>
      <c r="C314" t="s">
        <v>353</v>
      </c>
      <c r="D314" t="s">
        <v>353</v>
      </c>
      <c r="E314" t="s">
        <v>766</v>
      </c>
      <c r="F314" t="s">
        <v>766</v>
      </c>
      <c r="G314" t="s">
        <v>766</v>
      </c>
      <c r="H314">
        <v>34.164202899999999</v>
      </c>
      <c r="I314" s="7">
        <v>77.584813299999993</v>
      </c>
      <c r="J314" t="s">
        <v>1103</v>
      </c>
      <c r="K314" s="5" t="s">
        <v>888</v>
      </c>
      <c r="L314" t="s">
        <v>792</v>
      </c>
      <c r="M314">
        <f>IF(L314=C314,1,0)</f>
        <v>0</v>
      </c>
    </row>
    <row r="315" spans="1:13" x14ac:dyDescent="0.3">
      <c r="A315" t="s">
        <v>784</v>
      </c>
      <c r="B315" t="s">
        <v>26</v>
      </c>
      <c r="C315" t="s">
        <v>796</v>
      </c>
      <c r="D315" t="s">
        <v>339</v>
      </c>
      <c r="E315" t="s">
        <v>764</v>
      </c>
      <c r="F315" t="s">
        <v>764</v>
      </c>
      <c r="G315" t="s">
        <v>764</v>
      </c>
      <c r="H315">
        <v>10.57</v>
      </c>
      <c r="I315" s="7">
        <v>72.64</v>
      </c>
      <c r="J315">
        <v>0</v>
      </c>
      <c r="K315" s="5"/>
    </row>
    <row r="316" spans="1:13" x14ac:dyDescent="0.3">
      <c r="A316" t="s">
        <v>784</v>
      </c>
      <c r="B316" t="s">
        <v>27</v>
      </c>
      <c r="C316" t="s">
        <v>797</v>
      </c>
      <c r="D316" t="s">
        <v>354</v>
      </c>
      <c r="E316" t="s">
        <v>769</v>
      </c>
      <c r="F316" t="s">
        <v>769</v>
      </c>
      <c r="G316" t="s">
        <v>769</v>
      </c>
      <c r="H316">
        <v>23.935092000000001</v>
      </c>
      <c r="I316" s="7">
        <v>76.144959499999999</v>
      </c>
      <c r="J316">
        <v>0</v>
      </c>
      <c r="K316" s="5"/>
    </row>
    <row r="317" spans="1:13" x14ac:dyDescent="0.3">
      <c r="A317" t="s">
        <v>784</v>
      </c>
      <c r="B317" t="s">
        <v>27</v>
      </c>
      <c r="C317" t="s">
        <v>797</v>
      </c>
      <c r="D317" t="s">
        <v>355</v>
      </c>
      <c r="E317" t="s">
        <v>769</v>
      </c>
      <c r="F317" t="s">
        <v>769</v>
      </c>
      <c r="G317" t="s">
        <v>769</v>
      </c>
      <c r="H317">
        <v>22.18</v>
      </c>
      <c r="I317">
        <v>74.400000000000006</v>
      </c>
      <c r="J317">
        <v>0</v>
      </c>
      <c r="K317" s="5"/>
    </row>
    <row r="318" spans="1:13" x14ac:dyDescent="0.3">
      <c r="A318" t="s">
        <v>784</v>
      </c>
      <c r="B318" t="s">
        <v>27</v>
      </c>
      <c r="C318" t="s">
        <v>797</v>
      </c>
      <c r="D318" t="s">
        <v>356</v>
      </c>
      <c r="E318" t="s">
        <v>767</v>
      </c>
      <c r="F318" t="s">
        <v>767</v>
      </c>
      <c r="G318" t="s">
        <v>767</v>
      </c>
      <c r="H318">
        <v>23.034617900000001</v>
      </c>
      <c r="I318" s="7">
        <v>81.751025499999997</v>
      </c>
      <c r="J318">
        <v>0</v>
      </c>
      <c r="K318" s="5"/>
    </row>
    <row r="319" spans="1:13" x14ac:dyDescent="0.3">
      <c r="A319" t="s">
        <v>784</v>
      </c>
      <c r="B319" t="s">
        <v>27</v>
      </c>
      <c r="C319" t="s">
        <v>797</v>
      </c>
      <c r="D319" t="s">
        <v>357</v>
      </c>
      <c r="E319" t="s">
        <v>767</v>
      </c>
      <c r="F319" t="s">
        <v>767</v>
      </c>
      <c r="G319" t="s">
        <v>767</v>
      </c>
      <c r="H319">
        <v>24.57</v>
      </c>
      <c r="I319">
        <v>77.72</v>
      </c>
      <c r="J319">
        <v>0</v>
      </c>
      <c r="K319" s="5"/>
    </row>
    <row r="320" spans="1:13" x14ac:dyDescent="0.3">
      <c r="A320" t="s">
        <v>784</v>
      </c>
      <c r="B320" t="s">
        <v>27</v>
      </c>
      <c r="C320" t="s">
        <v>797</v>
      </c>
      <c r="D320" t="s">
        <v>358</v>
      </c>
      <c r="E320" t="s">
        <v>767</v>
      </c>
      <c r="F320" t="s">
        <v>767</v>
      </c>
      <c r="G320" t="s">
        <v>767</v>
      </c>
      <c r="H320">
        <v>21.8</v>
      </c>
      <c r="I320">
        <v>80.25</v>
      </c>
      <c r="J320">
        <v>0</v>
      </c>
      <c r="K320" s="5"/>
    </row>
    <row r="321" spans="1:13" x14ac:dyDescent="0.3">
      <c r="A321" t="s">
        <v>784</v>
      </c>
      <c r="B321" t="s">
        <v>27</v>
      </c>
      <c r="C321" t="s">
        <v>797</v>
      </c>
      <c r="D321" t="s">
        <v>359</v>
      </c>
      <c r="E321" t="s">
        <v>769</v>
      </c>
      <c r="F321" t="s">
        <v>769</v>
      </c>
      <c r="G321" t="s">
        <v>769</v>
      </c>
      <c r="H321">
        <v>22.05</v>
      </c>
      <c r="I321">
        <v>74.95</v>
      </c>
      <c r="J321">
        <v>0</v>
      </c>
      <c r="K321" s="5"/>
    </row>
    <row r="322" spans="1:13" x14ac:dyDescent="0.3">
      <c r="A322" t="s">
        <v>784</v>
      </c>
      <c r="B322" t="s">
        <v>27</v>
      </c>
      <c r="C322" t="s">
        <v>797</v>
      </c>
      <c r="D322" t="s">
        <v>360</v>
      </c>
      <c r="E322" t="s">
        <v>767</v>
      </c>
      <c r="F322" t="s">
        <v>767</v>
      </c>
      <c r="G322" t="s">
        <v>767</v>
      </c>
      <c r="H322">
        <v>22.47</v>
      </c>
      <c r="I322">
        <v>78.63</v>
      </c>
      <c r="J322" t="s">
        <v>1104</v>
      </c>
      <c r="K322" s="5" t="s">
        <v>889</v>
      </c>
      <c r="L322" t="s">
        <v>797</v>
      </c>
      <c r="M322">
        <f>IF(L322=C322,1,0)</f>
        <v>1</v>
      </c>
    </row>
    <row r="323" spans="1:13" x14ac:dyDescent="0.3">
      <c r="A323" t="s">
        <v>784</v>
      </c>
      <c r="B323" t="s">
        <v>27</v>
      </c>
      <c r="C323" t="s">
        <v>797</v>
      </c>
      <c r="D323" t="s">
        <v>361</v>
      </c>
      <c r="E323" t="s">
        <v>767</v>
      </c>
      <c r="F323" t="s">
        <v>767</v>
      </c>
      <c r="G323" t="s">
        <v>767</v>
      </c>
      <c r="H323">
        <v>26.6</v>
      </c>
      <c r="I323">
        <v>78.77</v>
      </c>
      <c r="J323">
        <v>0</v>
      </c>
      <c r="K323" s="5"/>
    </row>
    <row r="324" spans="1:13" x14ac:dyDescent="0.3">
      <c r="A324" t="s">
        <v>784</v>
      </c>
      <c r="B324" t="s">
        <v>27</v>
      </c>
      <c r="C324" t="s">
        <v>797</v>
      </c>
      <c r="D324" t="s">
        <v>362</v>
      </c>
      <c r="E324" t="s">
        <v>767</v>
      </c>
      <c r="F324" t="s">
        <v>767</v>
      </c>
      <c r="G324" t="s">
        <v>767</v>
      </c>
      <c r="H324">
        <v>23.27</v>
      </c>
      <c r="I324">
        <v>77.599999999999994</v>
      </c>
      <c r="J324" t="s">
        <v>1105</v>
      </c>
      <c r="K324" s="5" t="s">
        <v>890</v>
      </c>
      <c r="L324" t="s">
        <v>797</v>
      </c>
      <c r="M324">
        <f>IF(L324=C324,1,0)</f>
        <v>1</v>
      </c>
    </row>
    <row r="325" spans="1:13" x14ac:dyDescent="0.3">
      <c r="A325" t="s">
        <v>784</v>
      </c>
      <c r="B325" t="s">
        <v>27</v>
      </c>
      <c r="C325" t="s">
        <v>797</v>
      </c>
      <c r="D325" t="s">
        <v>363</v>
      </c>
      <c r="E325" t="s">
        <v>769</v>
      </c>
      <c r="F325" t="s">
        <v>769</v>
      </c>
      <c r="G325" t="s">
        <v>769</v>
      </c>
      <c r="H325">
        <v>21.28</v>
      </c>
      <c r="I325">
        <v>76.28</v>
      </c>
      <c r="J325">
        <v>0</v>
      </c>
      <c r="K325" s="5"/>
    </row>
    <row r="326" spans="1:13" x14ac:dyDescent="0.3">
      <c r="A326" t="s">
        <v>784</v>
      </c>
      <c r="B326" t="s">
        <v>27</v>
      </c>
      <c r="C326" t="s">
        <v>797</v>
      </c>
      <c r="D326" t="s">
        <v>364</v>
      </c>
      <c r="E326" t="s">
        <v>767</v>
      </c>
      <c r="F326" t="s">
        <v>767</v>
      </c>
      <c r="G326" t="s">
        <v>767</v>
      </c>
      <c r="H326">
        <v>24.9</v>
      </c>
      <c r="I326">
        <v>79.63</v>
      </c>
      <c r="J326">
        <v>0</v>
      </c>
      <c r="K326" s="5"/>
    </row>
    <row r="327" spans="1:13" x14ac:dyDescent="0.3">
      <c r="A327" t="s">
        <v>784</v>
      </c>
      <c r="B327" t="s">
        <v>27</v>
      </c>
      <c r="C327" t="s">
        <v>797</v>
      </c>
      <c r="D327" t="s">
        <v>365</v>
      </c>
      <c r="E327" t="s">
        <v>767</v>
      </c>
      <c r="F327" t="s">
        <v>767</v>
      </c>
      <c r="G327" t="s">
        <v>767</v>
      </c>
      <c r="H327">
        <v>22.05</v>
      </c>
      <c r="I327">
        <v>78.98</v>
      </c>
      <c r="J327" t="s">
        <v>1106</v>
      </c>
      <c r="K327" s="5" t="s">
        <v>891</v>
      </c>
      <c r="L327" t="s">
        <v>797</v>
      </c>
      <c r="M327">
        <f>IF(L327=C327,1,0)</f>
        <v>1</v>
      </c>
    </row>
    <row r="328" spans="1:13" x14ac:dyDescent="0.3">
      <c r="A328" t="s">
        <v>784</v>
      </c>
      <c r="B328" t="s">
        <v>27</v>
      </c>
      <c r="C328" t="s">
        <v>797</v>
      </c>
      <c r="D328" t="s">
        <v>366</v>
      </c>
      <c r="E328" t="s">
        <v>767</v>
      </c>
      <c r="F328" t="s">
        <v>767</v>
      </c>
      <c r="G328" t="s">
        <v>767</v>
      </c>
      <c r="H328">
        <v>23.83</v>
      </c>
      <c r="I328">
        <v>79.48</v>
      </c>
      <c r="J328" t="s">
        <v>1107</v>
      </c>
      <c r="K328" s="5" t="s">
        <v>892</v>
      </c>
      <c r="L328" t="s">
        <v>797</v>
      </c>
      <c r="M328">
        <f>IF(L328=C328,1,0)</f>
        <v>1</v>
      </c>
    </row>
    <row r="329" spans="1:13" x14ac:dyDescent="0.3">
      <c r="A329" t="s">
        <v>784</v>
      </c>
      <c r="B329" t="s">
        <v>27</v>
      </c>
      <c r="C329" t="s">
        <v>797</v>
      </c>
      <c r="D329" t="s">
        <v>367</v>
      </c>
      <c r="E329" t="s">
        <v>767</v>
      </c>
      <c r="F329" t="s">
        <v>767</v>
      </c>
      <c r="G329" t="s">
        <v>767</v>
      </c>
      <c r="H329">
        <v>25.65</v>
      </c>
      <c r="I329">
        <v>78.45</v>
      </c>
      <c r="J329" t="s">
        <v>1108</v>
      </c>
      <c r="K329" s="5" t="s">
        <v>893</v>
      </c>
      <c r="L329" t="s">
        <v>797</v>
      </c>
      <c r="M329">
        <f>IF(L329=C329,1,0)</f>
        <v>1</v>
      </c>
    </row>
    <row r="330" spans="1:13" x14ac:dyDescent="0.3">
      <c r="A330" t="s">
        <v>784</v>
      </c>
      <c r="B330" t="s">
        <v>27</v>
      </c>
      <c r="C330" t="s">
        <v>797</v>
      </c>
      <c r="D330" t="s">
        <v>368</v>
      </c>
      <c r="E330" t="s">
        <v>767</v>
      </c>
      <c r="F330" t="s">
        <v>767</v>
      </c>
      <c r="G330" t="s">
        <v>767</v>
      </c>
      <c r="H330">
        <v>22.97</v>
      </c>
      <c r="I330">
        <v>78.099999999999994</v>
      </c>
      <c r="J330">
        <v>0</v>
      </c>
      <c r="K330" s="5"/>
    </row>
    <row r="331" spans="1:13" x14ac:dyDescent="0.3">
      <c r="A331" t="s">
        <v>784</v>
      </c>
      <c r="B331" t="s">
        <v>27</v>
      </c>
      <c r="C331" t="s">
        <v>797</v>
      </c>
      <c r="D331" t="s">
        <v>369</v>
      </c>
      <c r="E331" t="s">
        <v>774</v>
      </c>
      <c r="F331" t="s">
        <v>767</v>
      </c>
      <c r="G331" t="s">
        <v>774</v>
      </c>
      <c r="H331">
        <v>22.58</v>
      </c>
      <c r="I331">
        <v>75.33</v>
      </c>
      <c r="J331" t="s">
        <v>1109</v>
      </c>
      <c r="K331" s="5" t="s">
        <v>894</v>
      </c>
      <c r="L331" t="s">
        <v>797</v>
      </c>
      <c r="M331">
        <f>IF(L331=C331,1,0)</f>
        <v>1</v>
      </c>
    </row>
    <row r="332" spans="1:13" x14ac:dyDescent="0.3">
      <c r="A332" t="s">
        <v>784</v>
      </c>
      <c r="B332" t="s">
        <v>27</v>
      </c>
      <c r="C332" t="s">
        <v>797</v>
      </c>
      <c r="D332" t="s">
        <v>370</v>
      </c>
      <c r="E332" t="s">
        <v>767</v>
      </c>
      <c r="F332" t="s">
        <v>767</v>
      </c>
      <c r="G332" t="s">
        <v>767</v>
      </c>
      <c r="H332">
        <v>22.95</v>
      </c>
      <c r="I332">
        <v>81.680000000000007</v>
      </c>
      <c r="J332">
        <v>0</v>
      </c>
      <c r="K332" s="5"/>
    </row>
    <row r="333" spans="1:13" x14ac:dyDescent="0.3">
      <c r="A333" t="s">
        <v>784</v>
      </c>
      <c r="B333" t="s">
        <v>27</v>
      </c>
      <c r="C333" t="s">
        <v>797</v>
      </c>
      <c r="D333" t="s">
        <v>371</v>
      </c>
      <c r="E333" t="s">
        <v>769</v>
      </c>
      <c r="F333" t="s">
        <v>769</v>
      </c>
      <c r="G333" t="s">
        <v>769</v>
      </c>
      <c r="H333">
        <v>24.67</v>
      </c>
      <c r="I333">
        <v>77.33</v>
      </c>
      <c r="J333" t="s">
        <v>1110</v>
      </c>
      <c r="K333" s="5" t="s">
        <v>895</v>
      </c>
      <c r="L333" t="s">
        <v>797</v>
      </c>
      <c r="M333">
        <f>IF(L333=C333,1,0)</f>
        <v>1</v>
      </c>
    </row>
    <row r="334" spans="1:13" x14ac:dyDescent="0.3">
      <c r="A334" t="s">
        <v>784</v>
      </c>
      <c r="B334" t="s">
        <v>27</v>
      </c>
      <c r="C334" t="s">
        <v>797</v>
      </c>
      <c r="D334" t="s">
        <v>372</v>
      </c>
      <c r="E334" t="s">
        <v>767</v>
      </c>
      <c r="F334" t="s">
        <v>767</v>
      </c>
      <c r="G334" t="s">
        <v>767</v>
      </c>
      <c r="H334">
        <v>26.23</v>
      </c>
      <c r="I334">
        <v>78.17</v>
      </c>
      <c r="J334" t="s">
        <v>1111</v>
      </c>
      <c r="K334" s="5" t="s">
        <v>896</v>
      </c>
      <c r="L334" t="s">
        <v>797</v>
      </c>
      <c r="M334">
        <f>IF(L334=C334,1,0)</f>
        <v>1</v>
      </c>
    </row>
    <row r="335" spans="1:13" x14ac:dyDescent="0.3">
      <c r="A335" t="s">
        <v>784</v>
      </c>
      <c r="B335" t="s">
        <v>27</v>
      </c>
      <c r="C335" t="s">
        <v>797</v>
      </c>
      <c r="D335" t="s">
        <v>373</v>
      </c>
      <c r="E335" t="s">
        <v>767</v>
      </c>
      <c r="F335" t="s">
        <v>767</v>
      </c>
      <c r="G335" t="s">
        <v>767</v>
      </c>
      <c r="H335">
        <v>22.32</v>
      </c>
      <c r="J335">
        <v>0</v>
      </c>
      <c r="K335" s="5"/>
    </row>
    <row r="336" spans="1:13" x14ac:dyDescent="0.3">
      <c r="A336" t="s">
        <v>784</v>
      </c>
      <c r="B336" t="s">
        <v>27</v>
      </c>
      <c r="C336" t="s">
        <v>797</v>
      </c>
      <c r="D336" t="s">
        <v>374</v>
      </c>
      <c r="E336" t="s">
        <v>767</v>
      </c>
      <c r="F336" t="s">
        <v>767</v>
      </c>
      <c r="G336" t="s">
        <v>767</v>
      </c>
      <c r="H336">
        <v>22.77</v>
      </c>
      <c r="I336">
        <v>77.75</v>
      </c>
      <c r="J336" t="s">
        <v>1112</v>
      </c>
      <c r="K336" s="5" t="s">
        <v>897</v>
      </c>
      <c r="L336" t="s">
        <v>797</v>
      </c>
      <c r="M336">
        <f>IF(L336=C336,1,0)</f>
        <v>1</v>
      </c>
    </row>
    <row r="337" spans="1:13" x14ac:dyDescent="0.3">
      <c r="A337" t="s">
        <v>784</v>
      </c>
      <c r="B337" t="s">
        <v>27</v>
      </c>
      <c r="C337" t="s">
        <v>797</v>
      </c>
      <c r="D337" t="s">
        <v>375</v>
      </c>
      <c r="E337" t="s">
        <v>767</v>
      </c>
      <c r="F337" t="s">
        <v>767</v>
      </c>
      <c r="G337" t="s">
        <v>767</v>
      </c>
      <c r="H337">
        <v>22.73</v>
      </c>
      <c r="I337">
        <v>75.83</v>
      </c>
      <c r="J337" t="s">
        <v>1113</v>
      </c>
      <c r="K337" s="5" t="s">
        <v>898</v>
      </c>
      <c r="L337" t="s">
        <v>797</v>
      </c>
      <c r="M337">
        <f>IF(L337=C337,1,0)</f>
        <v>1</v>
      </c>
    </row>
    <row r="338" spans="1:13" x14ac:dyDescent="0.3">
      <c r="A338" t="s">
        <v>784</v>
      </c>
      <c r="B338" t="s">
        <v>27</v>
      </c>
      <c r="C338" t="s">
        <v>797</v>
      </c>
      <c r="D338" t="s">
        <v>376</v>
      </c>
      <c r="E338" t="s">
        <v>767</v>
      </c>
      <c r="F338" t="s">
        <v>767</v>
      </c>
      <c r="G338" t="s">
        <v>767</v>
      </c>
      <c r="H338">
        <v>23.17</v>
      </c>
      <c r="I338">
        <v>79.98</v>
      </c>
      <c r="J338" t="s">
        <v>1114</v>
      </c>
      <c r="K338" s="5" t="s">
        <v>899</v>
      </c>
      <c r="L338" t="s">
        <v>797</v>
      </c>
      <c r="M338">
        <f>IF(L338=C338,1,0)</f>
        <v>1</v>
      </c>
    </row>
    <row r="339" spans="1:13" x14ac:dyDescent="0.3">
      <c r="A339" t="s">
        <v>784</v>
      </c>
      <c r="B339" t="s">
        <v>27</v>
      </c>
      <c r="C339" t="s">
        <v>797</v>
      </c>
      <c r="D339" t="s">
        <v>377</v>
      </c>
      <c r="E339" t="s">
        <v>769</v>
      </c>
      <c r="F339" t="s">
        <v>769</v>
      </c>
      <c r="G339" t="s">
        <v>769</v>
      </c>
      <c r="H339">
        <v>22.75</v>
      </c>
      <c r="I339">
        <v>74.63</v>
      </c>
      <c r="J339">
        <v>0</v>
      </c>
      <c r="K339" s="5"/>
    </row>
    <row r="340" spans="1:13" x14ac:dyDescent="0.3">
      <c r="A340" t="s">
        <v>784</v>
      </c>
      <c r="B340" t="s">
        <v>27</v>
      </c>
      <c r="C340" t="s">
        <v>797</v>
      </c>
      <c r="D340" t="s">
        <v>378</v>
      </c>
      <c r="E340" t="s">
        <v>767</v>
      </c>
      <c r="F340" t="s">
        <v>767</v>
      </c>
      <c r="G340" t="s">
        <v>767</v>
      </c>
      <c r="H340">
        <v>23.78</v>
      </c>
      <c r="I340">
        <v>80.45</v>
      </c>
      <c r="J340">
        <v>0</v>
      </c>
      <c r="K340" s="5"/>
    </row>
    <row r="341" spans="1:13" x14ac:dyDescent="0.3">
      <c r="A341" t="s">
        <v>784</v>
      </c>
      <c r="B341" t="s">
        <v>27</v>
      </c>
      <c r="C341" t="s">
        <v>797</v>
      </c>
      <c r="D341" t="s">
        <v>379</v>
      </c>
      <c r="E341" t="s">
        <v>767</v>
      </c>
      <c r="F341" t="s">
        <v>767</v>
      </c>
      <c r="G341" t="s">
        <v>767</v>
      </c>
      <c r="H341">
        <v>21.82</v>
      </c>
      <c r="I341">
        <v>76.319999999999993</v>
      </c>
      <c r="J341" t="s">
        <v>1115</v>
      </c>
      <c r="K341" s="5" t="s">
        <v>900</v>
      </c>
      <c r="L341" t="s">
        <v>797</v>
      </c>
      <c r="M341">
        <f>IF(L341=C341,1,0)</f>
        <v>1</v>
      </c>
    </row>
    <row r="342" spans="1:13" x14ac:dyDescent="0.3">
      <c r="A342" t="s">
        <v>784</v>
      </c>
      <c r="B342" t="s">
        <v>27</v>
      </c>
      <c r="C342" t="s">
        <v>797</v>
      </c>
      <c r="D342" t="s">
        <v>380</v>
      </c>
      <c r="E342" t="s">
        <v>775</v>
      </c>
      <c r="F342" t="s">
        <v>769</v>
      </c>
      <c r="G342" t="s">
        <v>775</v>
      </c>
      <c r="H342">
        <v>21.82</v>
      </c>
      <c r="I342">
        <v>75.599999999999994</v>
      </c>
      <c r="J342" t="s">
        <v>1116</v>
      </c>
      <c r="K342" s="5" t="s">
        <v>901</v>
      </c>
      <c r="L342" t="s">
        <v>797</v>
      </c>
      <c r="M342">
        <f>IF(L342=C342,1,0)</f>
        <v>1</v>
      </c>
    </row>
    <row r="343" spans="1:13" x14ac:dyDescent="0.3">
      <c r="A343" t="s">
        <v>784</v>
      </c>
      <c r="B343" t="s">
        <v>27</v>
      </c>
      <c r="C343" t="s">
        <v>797</v>
      </c>
      <c r="D343" t="s">
        <v>381</v>
      </c>
      <c r="E343" t="s">
        <v>767</v>
      </c>
      <c r="F343" t="s">
        <v>767</v>
      </c>
      <c r="G343" t="s">
        <v>767</v>
      </c>
      <c r="H343">
        <v>22.72</v>
      </c>
      <c r="I343">
        <v>80.58</v>
      </c>
      <c r="J343" t="s">
        <v>1117</v>
      </c>
      <c r="K343" s="5" t="s">
        <v>902</v>
      </c>
      <c r="L343" t="s">
        <v>797</v>
      </c>
      <c r="M343">
        <f>IF(L343=C343,1,0)</f>
        <v>1</v>
      </c>
    </row>
    <row r="344" spans="1:13" x14ac:dyDescent="0.3">
      <c r="A344" t="s">
        <v>784</v>
      </c>
      <c r="B344" t="s">
        <v>27</v>
      </c>
      <c r="C344" t="s">
        <v>797</v>
      </c>
      <c r="D344" t="s">
        <v>382</v>
      </c>
      <c r="E344" t="s">
        <v>769</v>
      </c>
      <c r="F344" t="s">
        <v>769</v>
      </c>
      <c r="G344" t="s">
        <v>769</v>
      </c>
      <c r="H344">
        <v>24.05</v>
      </c>
      <c r="I344">
        <v>75.13</v>
      </c>
      <c r="J344">
        <v>0</v>
      </c>
      <c r="K344" s="5"/>
    </row>
    <row r="345" spans="1:13" x14ac:dyDescent="0.3">
      <c r="A345" t="s">
        <v>784</v>
      </c>
      <c r="B345" t="s">
        <v>27</v>
      </c>
      <c r="C345" t="s">
        <v>797</v>
      </c>
      <c r="D345" t="s">
        <v>383</v>
      </c>
      <c r="E345" t="s">
        <v>767</v>
      </c>
      <c r="F345" t="s">
        <v>767</v>
      </c>
      <c r="G345" t="s">
        <v>767</v>
      </c>
      <c r="H345">
        <v>26.48</v>
      </c>
      <c r="J345">
        <v>0</v>
      </c>
      <c r="K345" s="5"/>
    </row>
    <row r="346" spans="1:13" x14ac:dyDescent="0.3">
      <c r="A346" t="s">
        <v>784</v>
      </c>
      <c r="B346" t="s">
        <v>27</v>
      </c>
      <c r="C346" t="s">
        <v>797</v>
      </c>
      <c r="D346" t="s">
        <v>384</v>
      </c>
      <c r="E346" t="s">
        <v>767</v>
      </c>
      <c r="F346" t="s">
        <v>767</v>
      </c>
      <c r="G346" t="s">
        <v>767</v>
      </c>
      <c r="H346">
        <v>22.95</v>
      </c>
      <c r="I346">
        <v>79.2</v>
      </c>
      <c r="J346" t="s">
        <v>1118</v>
      </c>
      <c r="K346" s="5" t="s">
        <v>903</v>
      </c>
      <c r="L346" t="s">
        <v>797</v>
      </c>
      <c r="M346">
        <f>IF(L346=C346,1,0)</f>
        <v>1</v>
      </c>
    </row>
    <row r="347" spans="1:13" x14ac:dyDescent="0.3">
      <c r="A347" t="s">
        <v>784</v>
      </c>
      <c r="B347" t="s">
        <v>27</v>
      </c>
      <c r="C347" t="s">
        <v>797</v>
      </c>
      <c r="D347" t="s">
        <v>385</v>
      </c>
      <c r="E347" t="s">
        <v>769</v>
      </c>
      <c r="F347" t="s">
        <v>769</v>
      </c>
      <c r="G347" t="s">
        <v>769</v>
      </c>
      <c r="H347">
        <v>24.45</v>
      </c>
      <c r="I347">
        <v>74.87</v>
      </c>
      <c r="J347" t="s">
        <v>1119</v>
      </c>
      <c r="K347" s="5" t="s">
        <v>904</v>
      </c>
      <c r="L347" t="s">
        <v>797</v>
      </c>
      <c r="M347">
        <f>IF(L347=C347,1,0)</f>
        <v>1</v>
      </c>
    </row>
    <row r="348" spans="1:13" x14ac:dyDescent="0.3">
      <c r="A348" t="s">
        <v>784</v>
      </c>
      <c r="B348" t="s">
        <v>27</v>
      </c>
      <c r="C348" t="s">
        <v>797</v>
      </c>
      <c r="D348" t="s">
        <v>386</v>
      </c>
      <c r="E348" t="s">
        <v>767</v>
      </c>
      <c r="F348" t="s">
        <v>767</v>
      </c>
      <c r="G348" t="s">
        <v>767</v>
      </c>
      <c r="H348">
        <v>25.3123152</v>
      </c>
      <c r="I348" s="7">
        <v>78.667563999999999</v>
      </c>
      <c r="J348">
        <v>0</v>
      </c>
      <c r="K348" s="5"/>
    </row>
    <row r="349" spans="1:13" x14ac:dyDescent="0.3">
      <c r="A349" t="s">
        <v>784</v>
      </c>
      <c r="B349" t="s">
        <v>27</v>
      </c>
      <c r="C349" t="s">
        <v>797</v>
      </c>
      <c r="D349" t="s">
        <v>387</v>
      </c>
      <c r="E349" t="s">
        <v>767</v>
      </c>
      <c r="F349" t="s">
        <v>767</v>
      </c>
      <c r="G349" t="s">
        <v>767</v>
      </c>
      <c r="H349">
        <v>24.73</v>
      </c>
      <c r="I349">
        <v>80.23</v>
      </c>
      <c r="J349" t="s">
        <v>1120</v>
      </c>
      <c r="K349" s="5" t="s">
        <v>905</v>
      </c>
      <c r="L349" t="s">
        <v>797</v>
      </c>
      <c r="M349">
        <f t="shared" ref="M349:M355" si="6">IF(L349=C349,1,0)</f>
        <v>1</v>
      </c>
    </row>
    <row r="350" spans="1:13" x14ac:dyDescent="0.3">
      <c r="A350" t="s">
        <v>784</v>
      </c>
      <c r="B350" t="s">
        <v>27</v>
      </c>
      <c r="C350" t="s">
        <v>797</v>
      </c>
      <c r="D350" t="s">
        <v>388</v>
      </c>
      <c r="E350" t="s">
        <v>767</v>
      </c>
      <c r="F350" t="s">
        <v>767</v>
      </c>
      <c r="G350" t="s">
        <v>767</v>
      </c>
      <c r="H350">
        <v>23.25</v>
      </c>
      <c r="J350" t="s">
        <v>1121</v>
      </c>
      <c r="K350" s="5" t="s">
        <v>906</v>
      </c>
      <c r="L350" t="s">
        <v>797</v>
      </c>
      <c r="M350">
        <f t="shared" si="6"/>
        <v>1</v>
      </c>
    </row>
    <row r="351" spans="1:13" x14ac:dyDescent="0.3">
      <c r="A351" t="s">
        <v>784</v>
      </c>
      <c r="B351" t="s">
        <v>27</v>
      </c>
      <c r="C351" t="s">
        <v>797</v>
      </c>
      <c r="D351" t="s">
        <v>389</v>
      </c>
      <c r="E351" t="s">
        <v>767</v>
      </c>
      <c r="F351" t="s">
        <v>767</v>
      </c>
      <c r="G351" t="s">
        <v>767</v>
      </c>
      <c r="H351">
        <v>23.871670699999999</v>
      </c>
      <c r="I351" s="7">
        <v>76.774470300000004</v>
      </c>
      <c r="J351" t="s">
        <v>1122</v>
      </c>
      <c r="K351" s="5" t="s">
        <v>907</v>
      </c>
      <c r="L351" t="s">
        <v>797</v>
      </c>
      <c r="M351">
        <f t="shared" si="6"/>
        <v>1</v>
      </c>
    </row>
    <row r="352" spans="1:13" x14ac:dyDescent="0.3">
      <c r="A352" t="s">
        <v>784</v>
      </c>
      <c r="B352" t="s">
        <v>27</v>
      </c>
      <c r="C352" t="s">
        <v>797</v>
      </c>
      <c r="D352" t="s">
        <v>390</v>
      </c>
      <c r="E352" t="s">
        <v>769</v>
      </c>
      <c r="F352" t="s">
        <v>769</v>
      </c>
      <c r="G352" t="s">
        <v>769</v>
      </c>
      <c r="H352">
        <v>23.52</v>
      </c>
      <c r="I352">
        <v>75.12</v>
      </c>
      <c r="J352" t="s">
        <v>1123</v>
      </c>
      <c r="K352" s="5" t="s">
        <v>908</v>
      </c>
      <c r="L352" t="s">
        <v>797</v>
      </c>
      <c r="M352">
        <f t="shared" si="6"/>
        <v>1</v>
      </c>
    </row>
    <row r="353" spans="1:13" x14ac:dyDescent="0.3">
      <c r="A353" t="s">
        <v>784</v>
      </c>
      <c r="B353" t="s">
        <v>27</v>
      </c>
      <c r="C353" t="s">
        <v>797</v>
      </c>
      <c r="D353" t="s">
        <v>391</v>
      </c>
      <c r="E353" t="s">
        <v>767</v>
      </c>
      <c r="F353" t="s">
        <v>767</v>
      </c>
      <c r="G353" t="s">
        <v>767</v>
      </c>
      <c r="H353">
        <v>24.52</v>
      </c>
      <c r="I353">
        <v>81.3</v>
      </c>
      <c r="J353" t="s">
        <v>1124</v>
      </c>
      <c r="K353" s="5" t="s">
        <v>909</v>
      </c>
      <c r="L353" t="s">
        <v>797</v>
      </c>
      <c r="M353">
        <f t="shared" si="6"/>
        <v>1</v>
      </c>
    </row>
    <row r="354" spans="1:13" x14ac:dyDescent="0.3">
      <c r="A354" t="s">
        <v>784</v>
      </c>
      <c r="B354" t="s">
        <v>27</v>
      </c>
      <c r="C354" t="s">
        <v>797</v>
      </c>
      <c r="D354" t="s">
        <v>392</v>
      </c>
      <c r="E354" t="s">
        <v>767</v>
      </c>
      <c r="F354" t="s">
        <v>767</v>
      </c>
      <c r="G354" t="s">
        <v>767</v>
      </c>
      <c r="H354">
        <v>23.808307599999999</v>
      </c>
      <c r="I354" s="7">
        <v>78.758253999999994</v>
      </c>
      <c r="J354" t="s">
        <v>1125</v>
      </c>
      <c r="K354" s="5" t="s">
        <v>910</v>
      </c>
      <c r="L354" t="s">
        <v>797</v>
      </c>
      <c r="M354">
        <f t="shared" si="6"/>
        <v>1</v>
      </c>
    </row>
    <row r="355" spans="1:13" x14ac:dyDescent="0.3">
      <c r="A355" t="s">
        <v>784</v>
      </c>
      <c r="B355" t="s">
        <v>27</v>
      </c>
      <c r="C355" t="s">
        <v>797</v>
      </c>
      <c r="D355" t="s">
        <v>393</v>
      </c>
      <c r="E355" t="s">
        <v>767</v>
      </c>
      <c r="F355" t="s">
        <v>767</v>
      </c>
      <c r="G355" t="s">
        <v>767</v>
      </c>
      <c r="H355">
        <v>24.57</v>
      </c>
      <c r="I355">
        <v>80.92</v>
      </c>
      <c r="J355" t="s">
        <v>1126</v>
      </c>
      <c r="K355" s="5" t="s">
        <v>911</v>
      </c>
      <c r="L355" t="s">
        <v>797</v>
      </c>
      <c r="M355">
        <f t="shared" si="6"/>
        <v>1</v>
      </c>
    </row>
    <row r="356" spans="1:13" x14ac:dyDescent="0.3">
      <c r="A356" t="s">
        <v>784</v>
      </c>
      <c r="B356" t="s">
        <v>27</v>
      </c>
      <c r="C356" t="s">
        <v>797</v>
      </c>
      <c r="D356" t="s">
        <v>394</v>
      </c>
      <c r="E356" t="s">
        <v>767</v>
      </c>
      <c r="F356" t="s">
        <v>767</v>
      </c>
      <c r="G356" t="s">
        <v>767</v>
      </c>
      <c r="H356">
        <v>23.2</v>
      </c>
      <c r="I356">
        <v>77</v>
      </c>
      <c r="J356">
        <v>0</v>
      </c>
      <c r="K356" s="5"/>
    </row>
    <row r="357" spans="1:13" x14ac:dyDescent="0.3">
      <c r="A357" t="s">
        <v>784</v>
      </c>
      <c r="B357" t="s">
        <v>27</v>
      </c>
      <c r="C357" t="s">
        <v>797</v>
      </c>
      <c r="D357" t="s">
        <v>395</v>
      </c>
      <c r="E357" t="s">
        <v>767</v>
      </c>
      <c r="F357" t="s">
        <v>767</v>
      </c>
      <c r="G357" t="s">
        <v>767</v>
      </c>
      <c r="H357">
        <v>22.1</v>
      </c>
      <c r="I357">
        <v>79.58</v>
      </c>
      <c r="J357" t="s">
        <v>1127</v>
      </c>
      <c r="K357" s="5" t="s">
        <v>912</v>
      </c>
      <c r="L357" t="s">
        <v>797</v>
      </c>
      <c r="M357">
        <f>IF(L357=C357,1,0)</f>
        <v>1</v>
      </c>
    </row>
    <row r="358" spans="1:13" x14ac:dyDescent="0.3">
      <c r="A358" t="s">
        <v>784</v>
      </c>
      <c r="B358" t="s">
        <v>27</v>
      </c>
      <c r="C358" t="s">
        <v>797</v>
      </c>
      <c r="D358" t="s">
        <v>396</v>
      </c>
      <c r="E358" t="s">
        <v>767</v>
      </c>
      <c r="F358" t="s">
        <v>767</v>
      </c>
      <c r="G358" t="s">
        <v>767</v>
      </c>
      <c r="H358">
        <v>23.3002343</v>
      </c>
      <c r="I358" s="7">
        <v>81.364771000000005</v>
      </c>
      <c r="J358">
        <v>0</v>
      </c>
      <c r="K358" s="5"/>
    </row>
    <row r="359" spans="1:13" x14ac:dyDescent="0.3">
      <c r="A359" t="s">
        <v>784</v>
      </c>
      <c r="B359" t="s">
        <v>27</v>
      </c>
      <c r="C359" t="s">
        <v>797</v>
      </c>
      <c r="D359" t="s">
        <v>397</v>
      </c>
      <c r="E359" t="s">
        <v>767</v>
      </c>
      <c r="F359" t="s">
        <v>767</v>
      </c>
      <c r="G359" t="s">
        <v>767</v>
      </c>
      <c r="H359">
        <v>23.43</v>
      </c>
      <c r="I359">
        <v>76.3</v>
      </c>
      <c r="J359" t="s">
        <v>1128</v>
      </c>
      <c r="K359" s="5" t="s">
        <v>913</v>
      </c>
      <c r="L359" t="s">
        <v>797</v>
      </c>
      <c r="M359">
        <f>IF(L359=C359,1,0)</f>
        <v>1</v>
      </c>
    </row>
    <row r="360" spans="1:13" x14ac:dyDescent="0.3">
      <c r="A360" t="s">
        <v>784</v>
      </c>
      <c r="B360" t="s">
        <v>27</v>
      </c>
      <c r="C360" t="s">
        <v>797</v>
      </c>
      <c r="D360" t="s">
        <v>398</v>
      </c>
      <c r="E360" t="s">
        <v>767</v>
      </c>
      <c r="F360" t="s">
        <v>767</v>
      </c>
      <c r="G360" t="s">
        <v>767</v>
      </c>
      <c r="H360">
        <v>25.65</v>
      </c>
      <c r="I360">
        <v>76.680000000000007</v>
      </c>
      <c r="J360" t="s">
        <v>1129</v>
      </c>
      <c r="K360" s="5" t="s">
        <v>914</v>
      </c>
      <c r="L360" t="s">
        <v>797</v>
      </c>
      <c r="M360">
        <f>IF(L360=C360,1,0)</f>
        <v>1</v>
      </c>
    </row>
    <row r="361" spans="1:13" x14ac:dyDescent="0.3">
      <c r="A361" t="s">
        <v>784</v>
      </c>
      <c r="B361" t="s">
        <v>27</v>
      </c>
      <c r="C361" t="s">
        <v>797</v>
      </c>
      <c r="D361" t="s">
        <v>399</v>
      </c>
      <c r="E361" t="s">
        <v>767</v>
      </c>
      <c r="F361" t="s">
        <v>767</v>
      </c>
      <c r="G361" t="s">
        <v>767</v>
      </c>
      <c r="H361">
        <v>25.374121599999999</v>
      </c>
      <c r="I361" s="7">
        <v>77.827886599999999</v>
      </c>
      <c r="J361" t="s">
        <v>1130</v>
      </c>
      <c r="K361" s="5" t="s">
        <v>915</v>
      </c>
      <c r="L361" t="s">
        <v>797</v>
      </c>
      <c r="M361">
        <f>IF(L361=C361,1,0)</f>
        <v>1</v>
      </c>
    </row>
    <row r="362" spans="1:13" x14ac:dyDescent="0.3">
      <c r="A362" t="s">
        <v>784</v>
      </c>
      <c r="B362" t="s">
        <v>27</v>
      </c>
      <c r="C362" t="s">
        <v>797</v>
      </c>
      <c r="D362" t="s">
        <v>400</v>
      </c>
      <c r="E362" t="s">
        <v>767</v>
      </c>
      <c r="F362" t="s">
        <v>767</v>
      </c>
      <c r="G362" t="s">
        <v>767</v>
      </c>
      <c r="H362">
        <v>24.211268700000002</v>
      </c>
      <c r="I362" s="7">
        <v>81.700041499999998</v>
      </c>
      <c r="J362" t="s">
        <v>1131</v>
      </c>
      <c r="K362" s="5" t="s">
        <v>916</v>
      </c>
      <c r="L362" t="s">
        <v>797</v>
      </c>
      <c r="M362">
        <f>IF(L362=C362,1,0)</f>
        <v>1</v>
      </c>
    </row>
    <row r="363" spans="1:13" x14ac:dyDescent="0.3">
      <c r="A363" t="s">
        <v>784</v>
      </c>
      <c r="B363" t="s">
        <v>27</v>
      </c>
      <c r="C363" t="s">
        <v>797</v>
      </c>
      <c r="D363" t="s">
        <v>401</v>
      </c>
      <c r="E363" t="s">
        <v>767</v>
      </c>
      <c r="F363" t="s">
        <v>767</v>
      </c>
      <c r="G363" t="s">
        <v>767</v>
      </c>
      <c r="H363">
        <v>24.2</v>
      </c>
      <c r="I363">
        <v>82.65</v>
      </c>
      <c r="J363">
        <v>0</v>
      </c>
      <c r="K363" s="5"/>
    </row>
    <row r="364" spans="1:13" x14ac:dyDescent="0.3">
      <c r="A364" t="s">
        <v>784</v>
      </c>
      <c r="B364" t="s">
        <v>27</v>
      </c>
      <c r="C364" t="s">
        <v>797</v>
      </c>
      <c r="D364" t="s">
        <v>402</v>
      </c>
      <c r="E364" t="s">
        <v>767</v>
      </c>
      <c r="F364" t="s">
        <v>767</v>
      </c>
      <c r="G364" t="s">
        <v>767</v>
      </c>
      <c r="H364">
        <v>24.75</v>
      </c>
      <c r="I364">
        <v>78.88</v>
      </c>
      <c r="J364" t="s">
        <v>1132</v>
      </c>
      <c r="K364" s="5" t="s">
        <v>917</v>
      </c>
      <c r="L364" t="s">
        <v>797</v>
      </c>
      <c r="M364">
        <f>IF(L364=C364,1,0)</f>
        <v>1</v>
      </c>
    </row>
    <row r="365" spans="1:13" x14ac:dyDescent="0.3">
      <c r="A365" t="s">
        <v>784</v>
      </c>
      <c r="B365" t="s">
        <v>27</v>
      </c>
      <c r="C365" t="s">
        <v>797</v>
      </c>
      <c r="D365" t="s">
        <v>403</v>
      </c>
      <c r="E365" t="s">
        <v>767</v>
      </c>
      <c r="F365" t="s">
        <v>767</v>
      </c>
      <c r="G365" t="s">
        <v>767</v>
      </c>
      <c r="H365">
        <v>23.15</v>
      </c>
      <c r="I365">
        <v>75.72</v>
      </c>
      <c r="J365" t="s">
        <v>1133</v>
      </c>
      <c r="K365" s="5" t="s">
        <v>918</v>
      </c>
      <c r="L365" t="s">
        <v>797</v>
      </c>
      <c r="M365">
        <f>IF(L365=C365,1,0)</f>
        <v>1</v>
      </c>
    </row>
    <row r="366" spans="1:13" x14ac:dyDescent="0.3">
      <c r="A366" t="s">
        <v>784</v>
      </c>
      <c r="B366" t="s">
        <v>27</v>
      </c>
      <c r="C366" t="s">
        <v>797</v>
      </c>
      <c r="D366" t="s">
        <v>404</v>
      </c>
      <c r="E366" t="s">
        <v>767</v>
      </c>
      <c r="F366" t="s">
        <v>767</v>
      </c>
      <c r="G366" t="s">
        <v>767</v>
      </c>
      <c r="H366">
        <v>23.5</v>
      </c>
      <c r="I366">
        <v>80.88</v>
      </c>
      <c r="J366" t="s">
        <v>1134</v>
      </c>
      <c r="K366" s="5" t="s">
        <v>919</v>
      </c>
      <c r="L366" t="s">
        <v>797</v>
      </c>
      <c r="M366">
        <f>IF(L366=C366,1,0)</f>
        <v>1</v>
      </c>
    </row>
    <row r="367" spans="1:13" x14ac:dyDescent="0.3">
      <c r="A367" t="s">
        <v>784</v>
      </c>
      <c r="B367" t="s">
        <v>27</v>
      </c>
      <c r="C367" t="s">
        <v>797</v>
      </c>
      <c r="D367" t="s">
        <v>405</v>
      </c>
      <c r="E367" t="s">
        <v>767</v>
      </c>
      <c r="F367" t="s">
        <v>767</v>
      </c>
      <c r="G367" t="s">
        <v>767</v>
      </c>
      <c r="H367">
        <v>23.53</v>
      </c>
      <c r="I367">
        <v>77.849999999999994</v>
      </c>
      <c r="J367">
        <v>0</v>
      </c>
      <c r="K367" s="5"/>
    </row>
    <row r="368" spans="1:13" x14ac:dyDescent="0.3">
      <c r="A368" t="s">
        <v>784</v>
      </c>
      <c r="B368" t="s">
        <v>28</v>
      </c>
      <c r="C368" t="s">
        <v>798</v>
      </c>
      <c r="D368" t="s">
        <v>406</v>
      </c>
      <c r="E368" t="s">
        <v>769</v>
      </c>
      <c r="F368" t="s">
        <v>769</v>
      </c>
      <c r="G368" t="s">
        <v>769</v>
      </c>
      <c r="H368">
        <v>19.079999999999998</v>
      </c>
      <c r="I368">
        <v>74.8</v>
      </c>
      <c r="J368">
        <v>0</v>
      </c>
      <c r="K368" s="5"/>
    </row>
    <row r="369" spans="1:13" x14ac:dyDescent="0.3">
      <c r="A369" t="s">
        <v>784</v>
      </c>
      <c r="B369" t="s">
        <v>28</v>
      </c>
      <c r="C369" t="s">
        <v>798</v>
      </c>
      <c r="D369" t="s">
        <v>407</v>
      </c>
      <c r="E369" t="s">
        <v>769</v>
      </c>
      <c r="F369" t="s">
        <v>769</v>
      </c>
      <c r="G369" t="s">
        <v>769</v>
      </c>
      <c r="H369">
        <v>20.7</v>
      </c>
      <c r="I369">
        <v>77.03</v>
      </c>
      <c r="J369" t="s">
        <v>1135</v>
      </c>
      <c r="K369" s="5" t="s">
        <v>920</v>
      </c>
      <c r="L369" t="s">
        <v>798</v>
      </c>
      <c r="M369">
        <f>IF(L369=C369,1,0)</f>
        <v>1</v>
      </c>
    </row>
    <row r="370" spans="1:13" x14ac:dyDescent="0.3">
      <c r="A370" t="s">
        <v>784</v>
      </c>
      <c r="B370" t="s">
        <v>28</v>
      </c>
      <c r="C370" t="s">
        <v>798</v>
      </c>
      <c r="D370" t="s">
        <v>408</v>
      </c>
      <c r="E370" t="s">
        <v>769</v>
      </c>
      <c r="F370" t="s">
        <v>769</v>
      </c>
      <c r="G370" t="s">
        <v>769</v>
      </c>
      <c r="H370">
        <v>20.93</v>
      </c>
      <c r="I370">
        <v>77.8</v>
      </c>
      <c r="J370">
        <v>0</v>
      </c>
      <c r="K370" s="5"/>
    </row>
    <row r="371" spans="1:13" x14ac:dyDescent="0.3">
      <c r="A371" t="s">
        <v>784</v>
      </c>
      <c r="B371" t="s">
        <v>28</v>
      </c>
      <c r="C371" t="s">
        <v>798</v>
      </c>
      <c r="D371" t="s">
        <v>120</v>
      </c>
      <c r="E371" t="s">
        <v>769</v>
      </c>
      <c r="F371" t="s">
        <v>769</v>
      </c>
      <c r="G371" t="s">
        <v>769</v>
      </c>
      <c r="H371">
        <v>19.88</v>
      </c>
      <c r="I371">
        <v>75.38</v>
      </c>
      <c r="J371" t="s">
        <v>1043</v>
      </c>
      <c r="K371" s="5" t="s">
        <v>828</v>
      </c>
      <c r="L371" t="s">
        <v>798</v>
      </c>
      <c r="M371">
        <f>IF(L371=C371,1,0)</f>
        <v>1</v>
      </c>
    </row>
    <row r="372" spans="1:13" x14ac:dyDescent="0.3">
      <c r="A372" t="s">
        <v>784</v>
      </c>
      <c r="B372" t="s">
        <v>28</v>
      </c>
      <c r="C372" t="s">
        <v>798</v>
      </c>
      <c r="D372" t="s">
        <v>409</v>
      </c>
      <c r="E372" t="s">
        <v>769</v>
      </c>
      <c r="F372" t="s">
        <v>769</v>
      </c>
      <c r="G372" t="s">
        <v>769</v>
      </c>
      <c r="H372">
        <v>18.82</v>
      </c>
      <c r="I372">
        <v>75.75</v>
      </c>
      <c r="J372">
        <v>0</v>
      </c>
      <c r="K372" s="5"/>
    </row>
    <row r="373" spans="1:13" x14ac:dyDescent="0.3">
      <c r="A373" t="s">
        <v>784</v>
      </c>
      <c r="B373" t="s">
        <v>28</v>
      </c>
      <c r="C373" t="s">
        <v>798</v>
      </c>
      <c r="D373" t="s">
        <v>410</v>
      </c>
      <c r="E373" t="s">
        <v>768</v>
      </c>
      <c r="F373" t="s">
        <v>767</v>
      </c>
      <c r="G373" t="s">
        <v>768</v>
      </c>
      <c r="H373">
        <v>21.82</v>
      </c>
      <c r="I373">
        <v>75.75</v>
      </c>
      <c r="J373">
        <v>0</v>
      </c>
      <c r="K373" s="5"/>
    </row>
    <row r="374" spans="1:13" x14ac:dyDescent="0.3">
      <c r="A374" t="s">
        <v>784</v>
      </c>
      <c r="B374" t="s">
        <v>28</v>
      </c>
      <c r="C374" t="s">
        <v>798</v>
      </c>
      <c r="D374" t="s">
        <v>411</v>
      </c>
      <c r="E374" t="s">
        <v>769</v>
      </c>
      <c r="F374" t="s">
        <v>769</v>
      </c>
      <c r="G374" t="s">
        <v>769</v>
      </c>
      <c r="H374">
        <v>20.53</v>
      </c>
      <c r="I374">
        <v>76.23</v>
      </c>
      <c r="J374">
        <v>0</v>
      </c>
      <c r="K374" s="5"/>
    </row>
    <row r="375" spans="1:13" x14ac:dyDescent="0.3">
      <c r="A375" t="s">
        <v>784</v>
      </c>
      <c r="B375" t="s">
        <v>28</v>
      </c>
      <c r="C375" t="s">
        <v>798</v>
      </c>
      <c r="D375" t="s">
        <v>412</v>
      </c>
      <c r="E375" t="s">
        <v>764</v>
      </c>
      <c r="F375" t="s">
        <v>764</v>
      </c>
      <c r="G375" t="s">
        <v>764</v>
      </c>
      <c r="H375">
        <v>19.95</v>
      </c>
      <c r="I375">
        <v>79.349999999999994</v>
      </c>
      <c r="J375" t="s">
        <v>1136</v>
      </c>
      <c r="K375" s="5" t="s">
        <v>921</v>
      </c>
      <c r="L375" t="s">
        <v>798</v>
      </c>
      <c r="M375">
        <f>IF(L375=C375,1,0)</f>
        <v>1</v>
      </c>
    </row>
    <row r="376" spans="1:13" x14ac:dyDescent="0.3">
      <c r="A376" t="s">
        <v>784</v>
      </c>
      <c r="B376" t="s">
        <v>28</v>
      </c>
      <c r="C376" t="s">
        <v>798</v>
      </c>
      <c r="D376" t="s">
        <v>413</v>
      </c>
      <c r="E376" t="s">
        <v>769</v>
      </c>
      <c r="F376" t="s">
        <v>769</v>
      </c>
      <c r="G376" t="s">
        <v>769</v>
      </c>
      <c r="H376">
        <v>20.97</v>
      </c>
      <c r="I376">
        <v>74.78</v>
      </c>
      <c r="J376">
        <v>0</v>
      </c>
      <c r="K376" s="5"/>
    </row>
    <row r="377" spans="1:13" x14ac:dyDescent="0.3">
      <c r="A377" t="s">
        <v>784</v>
      </c>
      <c r="B377" t="s">
        <v>28</v>
      </c>
      <c r="C377" t="s">
        <v>798</v>
      </c>
      <c r="D377" t="s">
        <v>414</v>
      </c>
      <c r="E377" t="s">
        <v>764</v>
      </c>
      <c r="F377" t="s">
        <v>764</v>
      </c>
      <c r="G377" t="s">
        <v>764</v>
      </c>
      <c r="H377">
        <v>20.170000000000002</v>
      </c>
      <c r="I377">
        <v>80</v>
      </c>
      <c r="J377">
        <v>0</v>
      </c>
      <c r="K377" s="5"/>
    </row>
    <row r="378" spans="1:13" x14ac:dyDescent="0.3">
      <c r="A378" t="s">
        <v>784</v>
      </c>
      <c r="B378" t="s">
        <v>28</v>
      </c>
      <c r="C378" t="s">
        <v>798</v>
      </c>
      <c r="D378" t="s">
        <v>415</v>
      </c>
      <c r="E378" t="s">
        <v>767</v>
      </c>
      <c r="F378" t="s">
        <v>767</v>
      </c>
      <c r="G378" t="s">
        <v>767</v>
      </c>
      <c r="H378">
        <v>20.97</v>
      </c>
      <c r="I378">
        <v>74.78</v>
      </c>
      <c r="J378" t="s">
        <v>1137</v>
      </c>
      <c r="K378" s="5" t="s">
        <v>922</v>
      </c>
      <c r="L378" t="s">
        <v>798</v>
      </c>
      <c r="M378">
        <f>IF(L378=C378,1,0)</f>
        <v>1</v>
      </c>
    </row>
    <row r="379" spans="1:13" x14ac:dyDescent="0.3">
      <c r="A379" t="s">
        <v>784</v>
      </c>
      <c r="B379" t="s">
        <v>28</v>
      </c>
      <c r="C379" t="s">
        <v>798</v>
      </c>
      <c r="D379" t="s">
        <v>416</v>
      </c>
      <c r="E379" t="s">
        <v>769</v>
      </c>
      <c r="F379" t="s">
        <v>769</v>
      </c>
      <c r="G379" t="s">
        <v>769</v>
      </c>
      <c r="H379">
        <v>19.72</v>
      </c>
      <c r="I379">
        <v>77.180000000000007</v>
      </c>
      <c r="J379">
        <v>0</v>
      </c>
      <c r="K379" s="5"/>
    </row>
    <row r="380" spans="1:13" x14ac:dyDescent="0.3">
      <c r="A380" t="s">
        <v>784</v>
      </c>
      <c r="B380" t="s">
        <v>28</v>
      </c>
      <c r="C380" t="s">
        <v>798</v>
      </c>
      <c r="D380" t="s">
        <v>417</v>
      </c>
      <c r="E380" t="s">
        <v>769</v>
      </c>
      <c r="F380" t="s">
        <v>769</v>
      </c>
      <c r="G380" t="s">
        <v>769</v>
      </c>
      <c r="H380">
        <v>21.08</v>
      </c>
      <c r="I380">
        <v>75.67</v>
      </c>
      <c r="J380" t="s">
        <v>1138</v>
      </c>
      <c r="K380" s="5" t="s">
        <v>923</v>
      </c>
      <c r="L380" t="s">
        <v>798</v>
      </c>
      <c r="M380">
        <f>IF(L380=C380,1,0)</f>
        <v>1</v>
      </c>
    </row>
    <row r="381" spans="1:13" x14ac:dyDescent="0.3">
      <c r="A381" t="s">
        <v>784</v>
      </c>
      <c r="B381" t="s">
        <v>28</v>
      </c>
      <c r="C381" t="s">
        <v>798</v>
      </c>
      <c r="D381" t="s">
        <v>418</v>
      </c>
      <c r="E381" t="s">
        <v>769</v>
      </c>
      <c r="F381" t="s">
        <v>769</v>
      </c>
      <c r="G381" t="s">
        <v>769</v>
      </c>
      <c r="H381">
        <v>19.850000000000001</v>
      </c>
      <c r="I381">
        <v>75.930000000000007</v>
      </c>
      <c r="J381" t="s">
        <v>1139</v>
      </c>
      <c r="K381" s="5" t="s">
        <v>924</v>
      </c>
      <c r="L381" t="s">
        <v>798</v>
      </c>
      <c r="M381">
        <f>IF(L381=C381,1,0)</f>
        <v>1</v>
      </c>
    </row>
    <row r="382" spans="1:13" x14ac:dyDescent="0.3">
      <c r="A382" t="s">
        <v>784</v>
      </c>
      <c r="B382" t="s">
        <v>28</v>
      </c>
      <c r="C382" t="s">
        <v>798</v>
      </c>
      <c r="D382" t="s">
        <v>419</v>
      </c>
      <c r="E382" t="s">
        <v>764</v>
      </c>
      <c r="F382" t="s">
        <v>764</v>
      </c>
      <c r="G382" t="s">
        <v>764</v>
      </c>
      <c r="H382">
        <v>16.7</v>
      </c>
      <c r="I382">
        <v>74.27</v>
      </c>
      <c r="J382" t="s">
        <v>1140</v>
      </c>
      <c r="K382" s="5" t="s">
        <v>925</v>
      </c>
      <c r="L382" t="s">
        <v>798</v>
      </c>
      <c r="M382">
        <f>IF(L382=C382,1,0)</f>
        <v>1</v>
      </c>
    </row>
    <row r="383" spans="1:13" x14ac:dyDescent="0.3">
      <c r="A383" t="s">
        <v>784</v>
      </c>
      <c r="B383" t="s">
        <v>28</v>
      </c>
      <c r="C383" t="s">
        <v>798</v>
      </c>
      <c r="D383" t="s">
        <v>420</v>
      </c>
      <c r="E383" t="s">
        <v>769</v>
      </c>
      <c r="F383" t="s">
        <v>769</v>
      </c>
      <c r="G383" t="s">
        <v>769</v>
      </c>
      <c r="H383">
        <v>18.399999999999999</v>
      </c>
      <c r="I383">
        <v>76.599999999999994</v>
      </c>
      <c r="J383">
        <v>0</v>
      </c>
      <c r="K383" s="5"/>
    </row>
    <row r="384" spans="1:13" x14ac:dyDescent="0.3">
      <c r="A384" t="s">
        <v>784</v>
      </c>
      <c r="B384" t="s">
        <v>28</v>
      </c>
      <c r="C384" t="s">
        <v>798</v>
      </c>
      <c r="D384" t="s">
        <v>421</v>
      </c>
      <c r="E384" t="s">
        <v>764</v>
      </c>
      <c r="F384" t="s">
        <v>764</v>
      </c>
      <c r="G384" t="s">
        <v>764</v>
      </c>
      <c r="H384">
        <v>18.920000000000002</v>
      </c>
      <c r="I384">
        <v>72.900000000000006</v>
      </c>
      <c r="J384">
        <v>0</v>
      </c>
      <c r="K384" s="5"/>
    </row>
    <row r="385" spans="1:13" x14ac:dyDescent="0.3">
      <c r="A385" t="s">
        <v>784</v>
      </c>
      <c r="B385" t="s">
        <v>28</v>
      </c>
      <c r="C385" t="s">
        <v>798</v>
      </c>
      <c r="D385" t="s">
        <v>422</v>
      </c>
      <c r="E385" t="s">
        <v>764</v>
      </c>
      <c r="F385" t="s">
        <v>764</v>
      </c>
      <c r="G385" t="s">
        <v>764</v>
      </c>
      <c r="H385">
        <v>19.05</v>
      </c>
      <c r="I385">
        <v>75.87</v>
      </c>
      <c r="J385">
        <v>0</v>
      </c>
      <c r="K385" s="5"/>
    </row>
    <row r="386" spans="1:13" x14ac:dyDescent="0.3">
      <c r="A386" t="s">
        <v>784</v>
      </c>
      <c r="B386" t="s">
        <v>28</v>
      </c>
      <c r="C386" t="s">
        <v>798</v>
      </c>
      <c r="D386" t="s">
        <v>423</v>
      </c>
      <c r="E386" t="s">
        <v>767</v>
      </c>
      <c r="F386" t="s">
        <v>767</v>
      </c>
      <c r="G386" t="s">
        <v>767</v>
      </c>
      <c r="H386">
        <v>21.15</v>
      </c>
      <c r="I386">
        <v>79.150000000000006</v>
      </c>
      <c r="J386" t="s">
        <v>1141</v>
      </c>
      <c r="K386" s="5" t="s">
        <v>926</v>
      </c>
      <c r="L386" t="s">
        <v>798</v>
      </c>
      <c r="M386">
        <f>IF(L386=C386,1,0)</f>
        <v>1</v>
      </c>
    </row>
    <row r="387" spans="1:13" x14ac:dyDescent="0.3">
      <c r="A387" t="s">
        <v>784</v>
      </c>
      <c r="B387" t="s">
        <v>28</v>
      </c>
      <c r="C387" t="s">
        <v>798</v>
      </c>
      <c r="D387" t="s">
        <v>424</v>
      </c>
      <c r="E387" t="s">
        <v>769</v>
      </c>
      <c r="F387" t="s">
        <v>769</v>
      </c>
      <c r="G387" t="s">
        <v>769</v>
      </c>
      <c r="H387">
        <v>19.149999999999999</v>
      </c>
      <c r="I387">
        <v>77.45</v>
      </c>
      <c r="J387" t="s">
        <v>1142</v>
      </c>
      <c r="K387" s="5" t="s">
        <v>927</v>
      </c>
      <c r="L387" t="s">
        <v>798</v>
      </c>
      <c r="M387">
        <f>IF(L387=C387,1,0)</f>
        <v>1</v>
      </c>
    </row>
    <row r="388" spans="1:13" x14ac:dyDescent="0.3">
      <c r="A388" t="s">
        <v>784</v>
      </c>
      <c r="B388" t="s">
        <v>28</v>
      </c>
      <c r="C388" t="s">
        <v>798</v>
      </c>
      <c r="D388" t="s">
        <v>425</v>
      </c>
      <c r="E388" t="s">
        <v>769</v>
      </c>
      <c r="F388" t="s">
        <v>769</v>
      </c>
      <c r="G388" t="s">
        <v>769</v>
      </c>
      <c r="H388">
        <v>21.514162200000001</v>
      </c>
      <c r="I388" s="7">
        <v>74.540551300000004</v>
      </c>
      <c r="J388" t="s">
        <v>1143</v>
      </c>
      <c r="K388" s="5" t="s">
        <v>928</v>
      </c>
      <c r="L388" t="s">
        <v>798</v>
      </c>
      <c r="M388">
        <f>IF(L388=C388,1,0)</f>
        <v>1</v>
      </c>
    </row>
    <row r="389" spans="1:13" x14ac:dyDescent="0.3">
      <c r="A389" t="s">
        <v>784</v>
      </c>
      <c r="B389" t="s">
        <v>28</v>
      </c>
      <c r="C389" t="s">
        <v>798</v>
      </c>
      <c r="D389" t="s">
        <v>426</v>
      </c>
      <c r="E389" t="s">
        <v>769</v>
      </c>
      <c r="F389" t="s">
        <v>769</v>
      </c>
      <c r="G389" t="s">
        <v>769</v>
      </c>
      <c r="H389">
        <v>20.03</v>
      </c>
      <c r="I389">
        <v>73.83</v>
      </c>
      <c r="J389" t="s">
        <v>1144</v>
      </c>
      <c r="K389" s="5" t="s">
        <v>929</v>
      </c>
      <c r="L389" t="s">
        <v>798</v>
      </c>
      <c r="M389">
        <f>IF(L389=C389,1,0)</f>
        <v>1</v>
      </c>
    </row>
    <row r="390" spans="1:13" x14ac:dyDescent="0.3">
      <c r="A390" t="s">
        <v>784</v>
      </c>
      <c r="B390" t="s">
        <v>28</v>
      </c>
      <c r="C390" t="s">
        <v>798</v>
      </c>
      <c r="D390" t="s">
        <v>427</v>
      </c>
      <c r="E390" t="s">
        <v>769</v>
      </c>
      <c r="F390" t="s">
        <v>769</v>
      </c>
      <c r="G390" t="s">
        <v>769</v>
      </c>
      <c r="H390">
        <v>18.13</v>
      </c>
      <c r="I390">
        <v>76.099999999999994</v>
      </c>
      <c r="J390">
        <v>0</v>
      </c>
      <c r="K390" s="5"/>
    </row>
    <row r="391" spans="1:13" x14ac:dyDescent="0.3">
      <c r="A391" t="s">
        <v>784</v>
      </c>
      <c r="B391" t="s">
        <v>28</v>
      </c>
      <c r="C391" t="s">
        <v>798</v>
      </c>
      <c r="D391" t="s">
        <v>428</v>
      </c>
      <c r="E391" t="s">
        <v>767</v>
      </c>
      <c r="F391" t="s">
        <v>767</v>
      </c>
      <c r="G391" t="s">
        <v>767</v>
      </c>
      <c r="H391">
        <v>19.757249000000002</v>
      </c>
      <c r="I391" s="7">
        <v>73.093119900000005</v>
      </c>
      <c r="J391">
        <v>0</v>
      </c>
      <c r="K391" s="5"/>
    </row>
    <row r="392" spans="1:13" x14ac:dyDescent="0.3">
      <c r="A392" t="s">
        <v>784</v>
      </c>
      <c r="B392" t="s">
        <v>28</v>
      </c>
      <c r="C392" t="s">
        <v>798</v>
      </c>
      <c r="D392" t="s">
        <v>429</v>
      </c>
      <c r="E392" t="s">
        <v>769</v>
      </c>
      <c r="F392" t="s">
        <v>769</v>
      </c>
      <c r="G392" t="s">
        <v>769</v>
      </c>
      <c r="H392">
        <v>19.13</v>
      </c>
      <c r="J392" t="s">
        <v>1145</v>
      </c>
      <c r="K392" s="5" t="s">
        <v>930</v>
      </c>
      <c r="L392" t="s">
        <v>798</v>
      </c>
      <c r="M392">
        <f>IF(L392=C392,1,0)</f>
        <v>1</v>
      </c>
    </row>
    <row r="393" spans="1:13" x14ac:dyDescent="0.3">
      <c r="A393" t="s">
        <v>784</v>
      </c>
      <c r="B393" t="s">
        <v>28</v>
      </c>
      <c r="C393" t="s">
        <v>798</v>
      </c>
      <c r="D393" t="s">
        <v>430</v>
      </c>
      <c r="E393" t="s">
        <v>764</v>
      </c>
      <c r="F393" t="s">
        <v>764</v>
      </c>
      <c r="G393" t="s">
        <v>764</v>
      </c>
      <c r="H393">
        <v>18.52</v>
      </c>
      <c r="I393">
        <v>73.92</v>
      </c>
      <c r="J393" t="s">
        <v>1146</v>
      </c>
      <c r="K393" s="5" t="s">
        <v>931</v>
      </c>
      <c r="L393" t="s">
        <v>798</v>
      </c>
      <c r="M393">
        <f>IF(L393=C393,1,0)</f>
        <v>1</v>
      </c>
    </row>
    <row r="394" spans="1:13" x14ac:dyDescent="0.3">
      <c r="A394" t="s">
        <v>784</v>
      </c>
      <c r="B394" t="s">
        <v>28</v>
      </c>
      <c r="C394" t="s">
        <v>798</v>
      </c>
      <c r="D394" t="s">
        <v>431</v>
      </c>
      <c r="E394" t="s">
        <v>764</v>
      </c>
      <c r="F394" t="s">
        <v>764</v>
      </c>
      <c r="G394" t="s">
        <v>764</v>
      </c>
      <c r="H394">
        <v>18.649999999999999</v>
      </c>
      <c r="I394">
        <v>72.92</v>
      </c>
      <c r="J394">
        <v>0</v>
      </c>
      <c r="K394" s="5"/>
    </row>
    <row r="395" spans="1:13" x14ac:dyDescent="0.3">
      <c r="A395" t="s">
        <v>784</v>
      </c>
      <c r="B395" t="s">
        <v>28</v>
      </c>
      <c r="C395" t="s">
        <v>798</v>
      </c>
      <c r="D395" t="s">
        <v>432</v>
      </c>
      <c r="E395" t="s">
        <v>764</v>
      </c>
      <c r="F395" t="s">
        <v>764</v>
      </c>
      <c r="G395" t="s">
        <v>764</v>
      </c>
      <c r="H395">
        <v>17.13</v>
      </c>
      <c r="I395">
        <v>73.319999999999993</v>
      </c>
      <c r="J395" t="s">
        <v>1147</v>
      </c>
      <c r="K395" s="5" t="s">
        <v>932</v>
      </c>
      <c r="L395" t="s">
        <v>798</v>
      </c>
      <c r="M395">
        <f>IF(L395=C395,1,0)</f>
        <v>1</v>
      </c>
    </row>
    <row r="396" spans="1:13" x14ac:dyDescent="0.3">
      <c r="A396" t="s">
        <v>784</v>
      </c>
      <c r="B396" t="s">
        <v>28</v>
      </c>
      <c r="C396" t="s">
        <v>798</v>
      </c>
      <c r="D396" t="s">
        <v>433</v>
      </c>
      <c r="E396" t="s">
        <v>764</v>
      </c>
      <c r="F396" t="s">
        <v>764</v>
      </c>
      <c r="G396" t="s">
        <v>764</v>
      </c>
      <c r="H396">
        <v>16.87</v>
      </c>
      <c r="I396">
        <v>74.599999999999994</v>
      </c>
      <c r="J396" t="s">
        <v>1148</v>
      </c>
      <c r="K396" s="5" t="s">
        <v>933</v>
      </c>
      <c r="L396" t="s">
        <v>798</v>
      </c>
      <c r="M396">
        <f>IF(L396=C396,1,0)</f>
        <v>1</v>
      </c>
    </row>
    <row r="397" spans="1:13" x14ac:dyDescent="0.3">
      <c r="A397" t="s">
        <v>784</v>
      </c>
      <c r="B397" t="s">
        <v>28</v>
      </c>
      <c r="C397" t="s">
        <v>798</v>
      </c>
      <c r="D397" t="s">
        <v>434</v>
      </c>
      <c r="E397" t="s">
        <v>776</v>
      </c>
      <c r="F397" t="s">
        <v>767</v>
      </c>
      <c r="G397" t="s">
        <v>776</v>
      </c>
      <c r="H397">
        <v>17.7</v>
      </c>
      <c r="I397">
        <v>74.03</v>
      </c>
      <c r="J397" t="s">
        <v>1149</v>
      </c>
      <c r="K397" s="5" t="s">
        <v>934</v>
      </c>
      <c r="L397" t="s">
        <v>798</v>
      </c>
      <c r="M397">
        <f>IF(L397=C397,1,0)</f>
        <v>1</v>
      </c>
    </row>
    <row r="398" spans="1:13" x14ac:dyDescent="0.3">
      <c r="A398" t="s">
        <v>784</v>
      </c>
      <c r="B398" t="s">
        <v>28</v>
      </c>
      <c r="C398" t="s">
        <v>798</v>
      </c>
      <c r="D398" t="s">
        <v>435</v>
      </c>
      <c r="E398" t="s">
        <v>764</v>
      </c>
      <c r="F398" t="s">
        <v>764</v>
      </c>
      <c r="G398" t="s">
        <v>764</v>
      </c>
      <c r="H398">
        <v>16.670000000000002</v>
      </c>
      <c r="I398">
        <v>75.92</v>
      </c>
      <c r="J398">
        <v>0</v>
      </c>
      <c r="K398" s="5"/>
    </row>
    <row r="399" spans="1:13" x14ac:dyDescent="0.3">
      <c r="A399" t="s">
        <v>784</v>
      </c>
      <c r="B399" t="s">
        <v>28</v>
      </c>
      <c r="C399" t="s">
        <v>798</v>
      </c>
      <c r="D399" t="s">
        <v>436</v>
      </c>
      <c r="E399" t="s">
        <v>769</v>
      </c>
      <c r="F399" t="s">
        <v>769</v>
      </c>
      <c r="G399" t="s">
        <v>769</v>
      </c>
      <c r="H399">
        <v>17.670000000000002</v>
      </c>
      <c r="I399">
        <v>75.92</v>
      </c>
      <c r="J399" t="s">
        <v>1150</v>
      </c>
      <c r="K399" s="5" t="s">
        <v>935</v>
      </c>
      <c r="L399" t="s">
        <v>798</v>
      </c>
      <c r="M399">
        <f>IF(L399=C399,1,0)</f>
        <v>1</v>
      </c>
    </row>
    <row r="400" spans="1:13" x14ac:dyDescent="0.3">
      <c r="A400" t="s">
        <v>784</v>
      </c>
      <c r="B400" t="s">
        <v>28</v>
      </c>
      <c r="C400" t="s">
        <v>798</v>
      </c>
      <c r="D400" t="s">
        <v>437</v>
      </c>
      <c r="E400" t="s">
        <v>764</v>
      </c>
      <c r="F400" t="s">
        <v>764</v>
      </c>
      <c r="G400" t="s">
        <v>764</v>
      </c>
      <c r="H400">
        <v>19.2</v>
      </c>
      <c r="I400">
        <v>73.03</v>
      </c>
      <c r="J400">
        <v>0</v>
      </c>
      <c r="K400" s="5"/>
    </row>
    <row r="401" spans="1:13" x14ac:dyDescent="0.3">
      <c r="A401" t="s">
        <v>784</v>
      </c>
      <c r="B401" t="s">
        <v>28</v>
      </c>
      <c r="C401" t="s">
        <v>798</v>
      </c>
      <c r="D401" t="s">
        <v>438</v>
      </c>
      <c r="E401" t="s">
        <v>769</v>
      </c>
      <c r="F401" t="s">
        <v>769</v>
      </c>
      <c r="G401" t="s">
        <v>769</v>
      </c>
      <c r="H401">
        <v>20.825623199999999</v>
      </c>
      <c r="I401" s="7">
        <v>78.613145500000002</v>
      </c>
      <c r="J401" t="s">
        <v>1151</v>
      </c>
      <c r="K401" s="5" t="s">
        <v>936</v>
      </c>
      <c r="L401" t="s">
        <v>798</v>
      </c>
      <c r="M401">
        <f>IF(L401=C401,1,0)</f>
        <v>1</v>
      </c>
    </row>
    <row r="402" spans="1:13" x14ac:dyDescent="0.3">
      <c r="A402" t="s">
        <v>784</v>
      </c>
      <c r="B402" t="s">
        <v>28</v>
      </c>
      <c r="C402" t="s">
        <v>798</v>
      </c>
      <c r="D402" t="s">
        <v>439</v>
      </c>
      <c r="E402" t="s">
        <v>769</v>
      </c>
      <c r="F402" t="s">
        <v>769</v>
      </c>
      <c r="G402" t="s">
        <v>769</v>
      </c>
      <c r="H402">
        <v>20.100000000000001</v>
      </c>
      <c r="I402">
        <v>77.150000000000006</v>
      </c>
      <c r="J402" t="s">
        <v>1152</v>
      </c>
      <c r="K402" s="5" t="s">
        <v>937</v>
      </c>
      <c r="L402" t="s">
        <v>798</v>
      </c>
      <c r="M402">
        <f>IF(L402=C402,1,0)</f>
        <v>1</v>
      </c>
    </row>
    <row r="403" spans="1:13" x14ac:dyDescent="0.3">
      <c r="A403" t="s">
        <v>784</v>
      </c>
      <c r="B403" t="s">
        <v>28</v>
      </c>
      <c r="C403" t="s">
        <v>798</v>
      </c>
      <c r="D403" t="s">
        <v>440</v>
      </c>
      <c r="E403" t="s">
        <v>767</v>
      </c>
      <c r="F403" t="s">
        <v>767</v>
      </c>
      <c r="G403" t="s">
        <v>767</v>
      </c>
      <c r="H403">
        <v>20.399999999999999</v>
      </c>
      <c r="I403">
        <v>78.12</v>
      </c>
      <c r="J403">
        <v>0</v>
      </c>
      <c r="K403" s="5"/>
    </row>
    <row r="404" spans="1:13" x14ac:dyDescent="0.3">
      <c r="A404" t="s">
        <v>784</v>
      </c>
      <c r="B404" t="s">
        <v>29</v>
      </c>
      <c r="C404" t="s">
        <v>799</v>
      </c>
      <c r="D404" t="s">
        <v>441</v>
      </c>
      <c r="E404" t="s">
        <v>764</v>
      </c>
      <c r="F404" t="s">
        <v>764</v>
      </c>
      <c r="G404" t="s">
        <v>764</v>
      </c>
      <c r="H404">
        <v>23.13</v>
      </c>
      <c r="I404">
        <v>87.33</v>
      </c>
      <c r="J404">
        <v>0</v>
      </c>
      <c r="K404" s="5"/>
    </row>
    <row r="405" spans="1:13" x14ac:dyDescent="0.3">
      <c r="A405" t="s">
        <v>784</v>
      </c>
      <c r="B405" t="s">
        <v>29</v>
      </c>
      <c r="C405" t="s">
        <v>799</v>
      </c>
      <c r="D405" t="s">
        <v>442</v>
      </c>
      <c r="E405" t="s">
        <v>764</v>
      </c>
      <c r="F405" t="s">
        <v>764</v>
      </c>
      <c r="G405" t="s">
        <v>764</v>
      </c>
      <c r="H405">
        <v>24.67</v>
      </c>
      <c r="I405">
        <v>93.83</v>
      </c>
      <c r="J405">
        <v>0</v>
      </c>
      <c r="K405" s="5"/>
    </row>
    <row r="406" spans="1:13" x14ac:dyDescent="0.3">
      <c r="A406" t="s">
        <v>784</v>
      </c>
      <c r="B406" t="s">
        <v>29</v>
      </c>
      <c r="C406" t="s">
        <v>799</v>
      </c>
      <c r="D406" t="s">
        <v>443</v>
      </c>
      <c r="E406" t="s">
        <v>764</v>
      </c>
      <c r="F406" t="s">
        <v>764</v>
      </c>
      <c r="G406" t="s">
        <v>764</v>
      </c>
      <c r="H406">
        <v>24.33</v>
      </c>
      <c r="I406">
        <v>93.67</v>
      </c>
      <c r="J406">
        <v>0</v>
      </c>
      <c r="K406" s="5"/>
    </row>
    <row r="407" spans="1:13" x14ac:dyDescent="0.3">
      <c r="A407" t="s">
        <v>784</v>
      </c>
      <c r="B407" t="s">
        <v>29</v>
      </c>
      <c r="C407" t="s">
        <v>799</v>
      </c>
      <c r="D407" t="s">
        <v>444</v>
      </c>
      <c r="E407" t="s">
        <v>764</v>
      </c>
      <c r="F407" t="s">
        <v>764</v>
      </c>
      <c r="G407" t="s">
        <v>764</v>
      </c>
      <c r="H407">
        <v>24.62</v>
      </c>
      <c r="I407">
        <v>94.25</v>
      </c>
      <c r="J407">
        <v>0</v>
      </c>
      <c r="K407" s="5"/>
    </row>
    <row r="408" spans="1:13" x14ac:dyDescent="0.3">
      <c r="A408" t="s">
        <v>784</v>
      </c>
      <c r="B408" t="s">
        <v>29</v>
      </c>
      <c r="C408" t="s">
        <v>799</v>
      </c>
      <c r="D408" t="s">
        <v>445</v>
      </c>
      <c r="E408" t="s">
        <v>764</v>
      </c>
      <c r="F408" t="s">
        <v>764</v>
      </c>
      <c r="G408" t="s">
        <v>764</v>
      </c>
      <c r="H408">
        <v>24.5</v>
      </c>
      <c r="I408">
        <v>94.25</v>
      </c>
      <c r="J408">
        <v>0</v>
      </c>
      <c r="K408" s="5"/>
    </row>
    <row r="409" spans="1:13" x14ac:dyDescent="0.3">
      <c r="A409" t="s">
        <v>784</v>
      </c>
      <c r="B409" t="s">
        <v>29</v>
      </c>
      <c r="C409" t="s">
        <v>799</v>
      </c>
      <c r="D409" t="s">
        <v>446</v>
      </c>
      <c r="E409" t="s">
        <v>764</v>
      </c>
      <c r="F409" t="s">
        <v>764</v>
      </c>
      <c r="G409" t="s">
        <v>764</v>
      </c>
      <c r="H409">
        <v>24.802399600000001</v>
      </c>
      <c r="I409" s="7">
        <v>93.116514499999994</v>
      </c>
      <c r="J409">
        <v>0</v>
      </c>
      <c r="K409" s="5"/>
    </row>
    <row r="410" spans="1:13" x14ac:dyDescent="0.3">
      <c r="A410" t="s">
        <v>784</v>
      </c>
      <c r="B410" t="s">
        <v>29</v>
      </c>
      <c r="C410" t="s">
        <v>799</v>
      </c>
      <c r="D410" t="s">
        <v>447</v>
      </c>
      <c r="E410" t="s">
        <v>764</v>
      </c>
      <c r="F410" t="s">
        <v>764</v>
      </c>
      <c r="G410" t="s">
        <v>764</v>
      </c>
      <c r="H410">
        <v>24.497482699999999</v>
      </c>
      <c r="I410" s="7">
        <v>93.983554299999994</v>
      </c>
      <c r="J410">
        <v>0</v>
      </c>
      <c r="K410" s="5"/>
    </row>
    <row r="411" spans="1:13" x14ac:dyDescent="0.3">
      <c r="A411" t="s">
        <v>784</v>
      </c>
      <c r="B411" t="s">
        <v>29</v>
      </c>
      <c r="C411" t="s">
        <v>799</v>
      </c>
      <c r="D411" t="s">
        <v>448</v>
      </c>
      <c r="E411" t="s">
        <v>764</v>
      </c>
      <c r="F411" t="s">
        <v>764</v>
      </c>
      <c r="G411" t="s">
        <v>764</v>
      </c>
      <c r="H411">
        <v>24.8577847</v>
      </c>
      <c r="I411" s="7">
        <v>94.510775699999996</v>
      </c>
      <c r="J411">
        <v>0</v>
      </c>
      <c r="K411" s="5"/>
    </row>
    <row r="412" spans="1:13" x14ac:dyDescent="0.3">
      <c r="A412" t="s">
        <v>784</v>
      </c>
      <c r="B412" t="s">
        <v>29</v>
      </c>
      <c r="C412" t="s">
        <v>799</v>
      </c>
      <c r="D412" t="s">
        <v>449</v>
      </c>
      <c r="E412" t="s">
        <v>764</v>
      </c>
      <c r="F412" t="s">
        <v>764</v>
      </c>
      <c r="G412" t="s">
        <v>764</v>
      </c>
      <c r="H412">
        <v>25.152772500000001</v>
      </c>
      <c r="I412" s="7">
        <v>93.971369100000004</v>
      </c>
      <c r="J412">
        <v>0</v>
      </c>
      <c r="K412" s="5"/>
    </row>
    <row r="413" spans="1:13" x14ac:dyDescent="0.3">
      <c r="A413" t="s">
        <v>784</v>
      </c>
      <c r="B413" t="s">
        <v>29</v>
      </c>
      <c r="C413" t="s">
        <v>799</v>
      </c>
      <c r="D413" t="s">
        <v>450</v>
      </c>
      <c r="E413" t="s">
        <v>764</v>
      </c>
      <c r="F413" t="s">
        <v>764</v>
      </c>
      <c r="G413" t="s">
        <v>764</v>
      </c>
      <c r="H413">
        <v>24.859060499999998</v>
      </c>
      <c r="I413" s="7">
        <v>93.632746299999994</v>
      </c>
      <c r="J413">
        <v>0</v>
      </c>
      <c r="K413" s="5"/>
    </row>
    <row r="414" spans="1:13" x14ac:dyDescent="0.3">
      <c r="A414" t="s">
        <v>784</v>
      </c>
      <c r="B414" t="s">
        <v>29</v>
      </c>
      <c r="C414" t="s">
        <v>799</v>
      </c>
      <c r="D414" t="s">
        <v>451</v>
      </c>
      <c r="E414" t="s">
        <v>764</v>
      </c>
      <c r="F414" t="s">
        <v>764</v>
      </c>
      <c r="G414" t="s">
        <v>764</v>
      </c>
      <c r="H414">
        <v>24.259565299999998</v>
      </c>
      <c r="I414" s="7">
        <v>93.190600399999994</v>
      </c>
      <c r="J414">
        <v>0</v>
      </c>
      <c r="K414" s="5"/>
    </row>
    <row r="415" spans="1:13" x14ac:dyDescent="0.3">
      <c r="A415" t="s">
        <v>784</v>
      </c>
      <c r="B415" t="s">
        <v>29</v>
      </c>
      <c r="C415" t="s">
        <v>799</v>
      </c>
      <c r="D415" t="s">
        <v>452</v>
      </c>
      <c r="E415" t="s">
        <v>764</v>
      </c>
      <c r="F415" t="s">
        <v>764</v>
      </c>
      <c r="G415" t="s">
        <v>764</v>
      </c>
      <c r="H415">
        <v>25.393369799999999</v>
      </c>
      <c r="I415" s="7">
        <v>94.150177299999996</v>
      </c>
      <c r="J415">
        <v>0</v>
      </c>
      <c r="K415" s="5"/>
    </row>
    <row r="416" spans="1:13" x14ac:dyDescent="0.3">
      <c r="A416" t="s">
        <v>784</v>
      </c>
      <c r="B416" t="s">
        <v>29</v>
      </c>
      <c r="C416" t="s">
        <v>799</v>
      </c>
      <c r="D416" t="s">
        <v>453</v>
      </c>
      <c r="E416" t="s">
        <v>764</v>
      </c>
      <c r="F416" t="s">
        <v>764</v>
      </c>
      <c r="G416" t="s">
        <v>764</v>
      </c>
      <c r="H416">
        <v>24.985859600000001</v>
      </c>
      <c r="I416" s="7">
        <v>93.503996700000002</v>
      </c>
      <c r="J416">
        <v>0</v>
      </c>
      <c r="K416" s="5"/>
    </row>
    <row r="417" spans="1:11" x14ac:dyDescent="0.3">
      <c r="A417" t="s">
        <v>784</v>
      </c>
      <c r="B417" t="s">
        <v>29</v>
      </c>
      <c r="C417" t="s">
        <v>799</v>
      </c>
      <c r="D417" t="s">
        <v>454</v>
      </c>
      <c r="E417" t="s">
        <v>764</v>
      </c>
      <c r="F417" t="s">
        <v>764</v>
      </c>
      <c r="G417" t="s">
        <v>764</v>
      </c>
      <c r="H417">
        <v>24.3626155</v>
      </c>
      <c r="I417" s="7">
        <v>94.259499700000006</v>
      </c>
      <c r="J417">
        <v>0</v>
      </c>
      <c r="K417" s="5"/>
    </row>
    <row r="418" spans="1:11" x14ac:dyDescent="0.3">
      <c r="A418" t="s">
        <v>784</v>
      </c>
      <c r="B418" t="s">
        <v>29</v>
      </c>
      <c r="C418" t="s">
        <v>799</v>
      </c>
      <c r="D418" t="s">
        <v>455</v>
      </c>
      <c r="E418" t="s">
        <v>764</v>
      </c>
      <c r="F418" t="s">
        <v>764</v>
      </c>
      <c r="G418" t="s">
        <v>764</v>
      </c>
      <c r="H418">
        <v>24.6386954</v>
      </c>
      <c r="I418" s="7">
        <v>93.996870999999999</v>
      </c>
      <c r="J418">
        <v>0</v>
      </c>
      <c r="K418" s="5"/>
    </row>
    <row r="419" spans="1:11" x14ac:dyDescent="0.3">
      <c r="A419" t="s">
        <v>784</v>
      </c>
      <c r="B419" t="s">
        <v>29</v>
      </c>
      <c r="C419" t="s">
        <v>799</v>
      </c>
      <c r="D419" t="s">
        <v>456</v>
      </c>
      <c r="E419" t="s">
        <v>764</v>
      </c>
      <c r="F419" t="s">
        <v>764</v>
      </c>
      <c r="G419" t="s">
        <v>764</v>
      </c>
      <c r="H419">
        <v>25.098265399999999</v>
      </c>
      <c r="I419" s="7">
        <v>94.363167000000004</v>
      </c>
      <c r="J419">
        <v>0</v>
      </c>
      <c r="K419" s="5"/>
    </row>
    <row r="420" spans="1:11" x14ac:dyDescent="0.3">
      <c r="A420" t="s">
        <v>784</v>
      </c>
      <c r="B420" t="s">
        <v>30</v>
      </c>
      <c r="C420" t="s">
        <v>800</v>
      </c>
      <c r="D420" t="s">
        <v>457</v>
      </c>
      <c r="E420" t="s">
        <v>764</v>
      </c>
      <c r="F420" t="s">
        <v>764</v>
      </c>
      <c r="G420" t="s">
        <v>764</v>
      </c>
      <c r="H420">
        <v>25.5</v>
      </c>
      <c r="I420">
        <v>90.5</v>
      </c>
      <c r="J420">
        <v>0</v>
      </c>
      <c r="K420" s="5"/>
    </row>
    <row r="421" spans="1:11" x14ac:dyDescent="0.3">
      <c r="A421" t="s">
        <v>784</v>
      </c>
      <c r="B421" t="s">
        <v>30</v>
      </c>
      <c r="C421" t="s">
        <v>800</v>
      </c>
      <c r="D421" t="s">
        <v>458</v>
      </c>
      <c r="E421" t="s">
        <v>764</v>
      </c>
      <c r="F421" t="s">
        <v>764</v>
      </c>
      <c r="G421" t="s">
        <v>764</v>
      </c>
      <c r="H421">
        <v>25.5</v>
      </c>
      <c r="I421">
        <v>90.27</v>
      </c>
      <c r="J421">
        <v>0</v>
      </c>
      <c r="K421" s="5"/>
    </row>
    <row r="422" spans="1:11" x14ac:dyDescent="0.3">
      <c r="A422" t="s">
        <v>784</v>
      </c>
      <c r="B422" t="s">
        <v>30</v>
      </c>
      <c r="C422" t="s">
        <v>800</v>
      </c>
      <c r="D422" t="s">
        <v>459</v>
      </c>
      <c r="E422" t="s">
        <v>764</v>
      </c>
      <c r="F422" t="s">
        <v>764</v>
      </c>
      <c r="G422" t="s">
        <v>764</v>
      </c>
      <c r="H422">
        <v>25.5</v>
      </c>
      <c r="I422">
        <v>91.5</v>
      </c>
      <c r="J422">
        <v>0</v>
      </c>
      <c r="K422" s="5"/>
    </row>
    <row r="423" spans="1:11" x14ac:dyDescent="0.3">
      <c r="A423" t="s">
        <v>784</v>
      </c>
      <c r="B423" t="s">
        <v>30</v>
      </c>
      <c r="C423" t="s">
        <v>800</v>
      </c>
      <c r="D423" t="s">
        <v>460</v>
      </c>
      <c r="E423" t="s">
        <v>764</v>
      </c>
      <c r="F423" t="s">
        <v>764</v>
      </c>
      <c r="G423" t="s">
        <v>764</v>
      </c>
      <c r="H423">
        <v>25.861984100000001</v>
      </c>
      <c r="I423" s="7">
        <v>90.701770499999995</v>
      </c>
      <c r="J423">
        <v>0</v>
      </c>
      <c r="K423" s="5"/>
    </row>
    <row r="424" spans="1:11" x14ac:dyDescent="0.3">
      <c r="A424" t="s">
        <v>784</v>
      </c>
      <c r="B424" t="s">
        <v>30</v>
      </c>
      <c r="C424" t="s">
        <v>800</v>
      </c>
      <c r="D424" t="s">
        <v>461</v>
      </c>
      <c r="E424" t="s">
        <v>766</v>
      </c>
      <c r="F424" t="s">
        <v>766</v>
      </c>
      <c r="G424" t="s">
        <v>766</v>
      </c>
      <c r="H424">
        <v>25.67</v>
      </c>
      <c r="I424">
        <v>90.92</v>
      </c>
      <c r="J424">
        <v>0</v>
      </c>
      <c r="K424" s="5"/>
    </row>
    <row r="425" spans="1:11" x14ac:dyDescent="0.3">
      <c r="A425" t="s">
        <v>784</v>
      </c>
      <c r="B425" t="s">
        <v>30</v>
      </c>
      <c r="C425" t="s">
        <v>800</v>
      </c>
      <c r="D425" t="s">
        <v>462</v>
      </c>
      <c r="E425" t="s">
        <v>764</v>
      </c>
      <c r="F425" t="s">
        <v>764</v>
      </c>
      <c r="G425" t="s">
        <v>764</v>
      </c>
      <c r="H425">
        <v>25.58</v>
      </c>
      <c r="I425">
        <v>90.25</v>
      </c>
      <c r="J425">
        <v>0</v>
      </c>
      <c r="K425" s="5"/>
    </row>
    <row r="426" spans="1:11" x14ac:dyDescent="0.3">
      <c r="A426" t="s">
        <v>784</v>
      </c>
      <c r="B426" t="s">
        <v>30</v>
      </c>
      <c r="C426" t="s">
        <v>800</v>
      </c>
      <c r="D426" t="s">
        <v>463</v>
      </c>
      <c r="E426" t="s">
        <v>764</v>
      </c>
      <c r="F426" t="s">
        <v>764</v>
      </c>
      <c r="G426" t="s">
        <v>764</v>
      </c>
      <c r="H426">
        <v>25.444631000000001</v>
      </c>
      <c r="I426" s="7">
        <v>89.996965500000002</v>
      </c>
      <c r="J426">
        <v>0</v>
      </c>
      <c r="K426" s="5"/>
    </row>
    <row r="427" spans="1:11" x14ac:dyDescent="0.3">
      <c r="A427" t="s">
        <v>784</v>
      </c>
      <c r="B427" t="s">
        <v>30</v>
      </c>
      <c r="C427" t="s">
        <v>800</v>
      </c>
      <c r="D427" t="s">
        <v>464</v>
      </c>
      <c r="E427" t="s">
        <v>764</v>
      </c>
      <c r="F427" t="s">
        <v>764</v>
      </c>
      <c r="G427" t="s">
        <v>764</v>
      </c>
      <c r="H427">
        <v>25.330722099999999</v>
      </c>
      <c r="I427" s="7">
        <v>91.321738800000006</v>
      </c>
      <c r="J427">
        <v>0</v>
      </c>
      <c r="K427" s="5"/>
    </row>
    <row r="428" spans="1:11" x14ac:dyDescent="0.3">
      <c r="A428" t="s">
        <v>784</v>
      </c>
      <c r="B428" t="s">
        <v>30</v>
      </c>
      <c r="C428" t="s">
        <v>800</v>
      </c>
      <c r="D428" t="s">
        <v>465</v>
      </c>
      <c r="E428" t="s">
        <v>764</v>
      </c>
      <c r="F428" t="s">
        <v>764</v>
      </c>
      <c r="G428" t="s">
        <v>764</v>
      </c>
      <c r="H428">
        <v>25.6065343</v>
      </c>
      <c r="I428" s="7">
        <v>90.203833500000002</v>
      </c>
      <c r="J428">
        <v>0</v>
      </c>
      <c r="K428" s="5"/>
    </row>
    <row r="429" spans="1:11" x14ac:dyDescent="0.3">
      <c r="A429" t="s">
        <v>784</v>
      </c>
      <c r="B429" t="s">
        <v>30</v>
      </c>
      <c r="C429" t="s">
        <v>800</v>
      </c>
      <c r="D429" t="s">
        <v>466</v>
      </c>
      <c r="E429" t="s">
        <v>764</v>
      </c>
      <c r="F429" t="s">
        <v>764</v>
      </c>
      <c r="G429" t="s">
        <v>764</v>
      </c>
      <c r="H429">
        <v>25.442596500000001</v>
      </c>
      <c r="I429" s="7">
        <v>92.298827500000002</v>
      </c>
      <c r="J429">
        <v>0</v>
      </c>
      <c r="K429" s="5"/>
    </row>
    <row r="430" spans="1:11" x14ac:dyDescent="0.3">
      <c r="A430" t="s">
        <v>784</v>
      </c>
      <c r="B430" t="s">
        <v>30</v>
      </c>
      <c r="C430" t="s">
        <v>800</v>
      </c>
      <c r="D430" t="s">
        <v>467</v>
      </c>
      <c r="E430" t="s">
        <v>764</v>
      </c>
      <c r="F430" t="s">
        <v>764</v>
      </c>
      <c r="G430" t="s">
        <v>764</v>
      </c>
      <c r="H430">
        <v>25.581442899999999</v>
      </c>
      <c r="I430" s="7">
        <v>91.085109399999993</v>
      </c>
      <c r="J430">
        <v>0</v>
      </c>
      <c r="K430" s="5"/>
    </row>
    <row r="431" spans="1:11" x14ac:dyDescent="0.3">
      <c r="A431" t="s">
        <v>784</v>
      </c>
      <c r="B431" t="s">
        <v>31</v>
      </c>
      <c r="C431" t="s">
        <v>801</v>
      </c>
      <c r="D431" t="s">
        <v>468</v>
      </c>
      <c r="E431" t="s">
        <v>764</v>
      </c>
      <c r="F431" t="s">
        <v>764</v>
      </c>
      <c r="G431" t="s">
        <v>764</v>
      </c>
      <c r="H431">
        <v>23.727763100000001</v>
      </c>
      <c r="I431" s="7">
        <v>92.717994700000006</v>
      </c>
      <c r="J431" t="s">
        <v>1238</v>
      </c>
      <c r="K431" s="5"/>
    </row>
    <row r="432" spans="1:11" x14ac:dyDescent="0.3">
      <c r="A432" t="s">
        <v>784</v>
      </c>
      <c r="B432" t="s">
        <v>31</v>
      </c>
      <c r="C432" t="s">
        <v>801</v>
      </c>
      <c r="D432" t="s">
        <v>469</v>
      </c>
      <c r="E432" t="s">
        <v>764</v>
      </c>
      <c r="F432" t="s">
        <v>764</v>
      </c>
      <c r="G432" t="s">
        <v>764</v>
      </c>
      <c r="H432">
        <v>23.631731899999998</v>
      </c>
      <c r="I432" s="7">
        <v>93.349318499999995</v>
      </c>
      <c r="J432">
        <v>0</v>
      </c>
      <c r="K432" s="5"/>
    </row>
    <row r="433" spans="1:14" x14ac:dyDescent="0.3">
      <c r="A433" t="s">
        <v>784</v>
      </c>
      <c r="B433" t="s">
        <v>31</v>
      </c>
      <c r="C433" t="s">
        <v>801</v>
      </c>
      <c r="D433" t="s">
        <v>470</v>
      </c>
      <c r="E433" t="s">
        <v>764</v>
      </c>
      <c r="F433" t="s">
        <v>764</v>
      </c>
      <c r="G433" t="s">
        <v>764</v>
      </c>
      <c r="H433">
        <v>24.190546900000001</v>
      </c>
      <c r="I433" s="7">
        <v>92.713659500000006</v>
      </c>
      <c r="J433">
        <v>0</v>
      </c>
      <c r="K433" s="5"/>
    </row>
    <row r="434" spans="1:14" x14ac:dyDescent="0.3">
      <c r="A434" t="s">
        <v>784</v>
      </c>
      <c r="B434" t="s">
        <v>31</v>
      </c>
      <c r="C434" t="s">
        <v>801</v>
      </c>
      <c r="D434" t="s">
        <v>471</v>
      </c>
      <c r="E434" t="s">
        <v>764</v>
      </c>
      <c r="F434" t="s">
        <v>764</v>
      </c>
      <c r="G434" t="s">
        <v>764</v>
      </c>
      <c r="H434">
        <v>22.391337700000001</v>
      </c>
      <c r="I434" s="7">
        <v>92.7397189</v>
      </c>
      <c r="J434">
        <v>0</v>
      </c>
      <c r="K434" s="5"/>
    </row>
    <row r="435" spans="1:14" x14ac:dyDescent="0.3">
      <c r="A435" t="s">
        <v>784</v>
      </c>
      <c r="B435" t="s">
        <v>31</v>
      </c>
      <c r="C435" t="s">
        <v>801</v>
      </c>
      <c r="D435" t="s">
        <v>472</v>
      </c>
      <c r="E435" t="s">
        <v>764</v>
      </c>
      <c r="F435" t="s">
        <v>764</v>
      </c>
      <c r="G435" t="s">
        <v>764</v>
      </c>
      <c r="H435">
        <v>22.951997200000001</v>
      </c>
      <c r="I435" s="7">
        <v>92.633882700000001</v>
      </c>
      <c r="J435" t="s">
        <v>1237</v>
      </c>
      <c r="K435" s="5"/>
    </row>
    <row r="436" spans="1:14" x14ac:dyDescent="0.3">
      <c r="A436" t="s">
        <v>784</v>
      </c>
      <c r="B436" t="s">
        <v>31</v>
      </c>
      <c r="C436" t="s">
        <v>801</v>
      </c>
      <c r="D436" t="s">
        <v>473</v>
      </c>
      <c r="E436" t="s">
        <v>764</v>
      </c>
      <c r="F436" t="s">
        <v>764</v>
      </c>
      <c r="G436" t="s">
        <v>764</v>
      </c>
      <c r="H436">
        <v>23.7564387</v>
      </c>
      <c r="I436" s="7">
        <v>92.451537400000007</v>
      </c>
      <c r="J436">
        <v>0</v>
      </c>
      <c r="K436" s="5"/>
    </row>
    <row r="437" spans="1:14" x14ac:dyDescent="0.3">
      <c r="A437" t="s">
        <v>784</v>
      </c>
      <c r="B437" t="s">
        <v>31</v>
      </c>
      <c r="C437" t="s">
        <v>801</v>
      </c>
      <c r="D437" t="s">
        <v>474</v>
      </c>
      <c r="E437" t="s">
        <v>764</v>
      </c>
      <c r="F437" t="s">
        <v>764</v>
      </c>
      <c r="G437" t="s">
        <v>764</v>
      </c>
      <c r="H437">
        <v>22.287672400000002</v>
      </c>
      <c r="I437" s="7">
        <v>93.013360000000006</v>
      </c>
      <c r="J437">
        <v>0</v>
      </c>
      <c r="K437" s="5"/>
    </row>
    <row r="438" spans="1:14" x14ac:dyDescent="0.3">
      <c r="A438" t="s">
        <v>784</v>
      </c>
      <c r="B438" t="s">
        <v>31</v>
      </c>
      <c r="C438" t="s">
        <v>801</v>
      </c>
      <c r="D438" t="s">
        <v>475</v>
      </c>
      <c r="E438" t="s">
        <v>764</v>
      </c>
      <c r="F438" t="s">
        <v>764</v>
      </c>
      <c r="G438" t="s">
        <v>764</v>
      </c>
      <c r="H438">
        <v>23.3052514</v>
      </c>
      <c r="I438" s="7">
        <v>92.845512299999996</v>
      </c>
      <c r="J438">
        <v>0</v>
      </c>
      <c r="K438" s="5"/>
    </row>
    <row r="439" spans="1:14" x14ac:dyDescent="0.3">
      <c r="A439" t="s">
        <v>784</v>
      </c>
      <c r="B439" t="s">
        <v>32</v>
      </c>
      <c r="C439" t="s">
        <v>802</v>
      </c>
      <c r="D439" t="s">
        <v>476</v>
      </c>
      <c r="E439" t="s">
        <v>764</v>
      </c>
      <c r="F439" t="s">
        <v>764</v>
      </c>
      <c r="G439" t="s">
        <v>764</v>
      </c>
      <c r="H439">
        <v>25.92</v>
      </c>
      <c r="I439">
        <v>93.73</v>
      </c>
      <c r="J439">
        <v>0</v>
      </c>
      <c r="K439" s="5"/>
    </row>
    <row r="440" spans="1:14" x14ac:dyDescent="0.3">
      <c r="A440" t="s">
        <v>784</v>
      </c>
      <c r="B440" t="s">
        <v>32</v>
      </c>
      <c r="C440" t="s">
        <v>802</v>
      </c>
      <c r="D440" t="s">
        <v>477</v>
      </c>
      <c r="E440" t="s">
        <v>764</v>
      </c>
      <c r="F440" t="s">
        <v>764</v>
      </c>
      <c r="G440" t="s">
        <v>764</v>
      </c>
      <c r="H440">
        <v>25.811708800000002</v>
      </c>
      <c r="I440" s="7">
        <v>94.847403600000007</v>
      </c>
      <c r="J440">
        <v>0</v>
      </c>
      <c r="K440" s="5"/>
    </row>
    <row r="441" spans="1:14" x14ac:dyDescent="0.3">
      <c r="A441" t="s">
        <v>784</v>
      </c>
      <c r="B441" t="s">
        <v>32</v>
      </c>
      <c r="C441" t="s">
        <v>802</v>
      </c>
      <c r="D441" t="s">
        <v>478</v>
      </c>
      <c r="E441" t="s">
        <v>764</v>
      </c>
      <c r="F441" t="s">
        <v>764</v>
      </c>
      <c r="G441" t="s">
        <v>764</v>
      </c>
      <c r="H441">
        <v>25.661875500000001</v>
      </c>
      <c r="I441" s="7">
        <v>94.101915599999998</v>
      </c>
      <c r="J441" t="s">
        <v>1153</v>
      </c>
      <c r="K441" s="5" t="s">
        <v>938</v>
      </c>
      <c r="L441" t="s">
        <v>802</v>
      </c>
      <c r="M441">
        <f>IF(L441=C441,1,0)</f>
        <v>1</v>
      </c>
    </row>
    <row r="442" spans="1:14" x14ac:dyDescent="0.3">
      <c r="A442" t="s">
        <v>784</v>
      </c>
      <c r="B442" t="s">
        <v>32</v>
      </c>
      <c r="C442" t="s">
        <v>802</v>
      </c>
      <c r="D442" t="s">
        <v>479</v>
      </c>
      <c r="E442" t="s">
        <v>766</v>
      </c>
      <c r="F442" t="s">
        <v>766</v>
      </c>
      <c r="G442" t="s">
        <v>766</v>
      </c>
      <c r="H442">
        <v>26.583931499999998</v>
      </c>
      <c r="I442" s="7">
        <v>94.804548100000005</v>
      </c>
      <c r="J442">
        <v>0</v>
      </c>
      <c r="K442" s="5"/>
    </row>
    <row r="443" spans="1:14" x14ac:dyDescent="0.3">
      <c r="A443" t="s">
        <v>784</v>
      </c>
      <c r="B443" t="s">
        <v>32</v>
      </c>
      <c r="C443" t="s">
        <v>802</v>
      </c>
      <c r="D443" t="s">
        <v>480</v>
      </c>
      <c r="E443" t="s">
        <v>766</v>
      </c>
      <c r="F443" t="s">
        <v>766</v>
      </c>
      <c r="G443" t="s">
        <v>766</v>
      </c>
      <c r="H443">
        <v>26.479586099999999</v>
      </c>
      <c r="I443" s="7">
        <v>94.510527499999995</v>
      </c>
      <c r="J443">
        <v>0</v>
      </c>
      <c r="K443" s="5"/>
    </row>
    <row r="444" spans="1:14" x14ac:dyDescent="0.3">
      <c r="A444" t="s">
        <v>784</v>
      </c>
      <c r="B444" t="s">
        <v>32</v>
      </c>
      <c r="C444" t="s">
        <v>802</v>
      </c>
      <c r="D444" t="s">
        <v>481</v>
      </c>
      <c r="E444" t="s">
        <v>777</v>
      </c>
      <c r="F444" t="s">
        <v>766</v>
      </c>
      <c r="G444" t="s">
        <v>777</v>
      </c>
      <c r="H444">
        <v>26.666667</v>
      </c>
      <c r="I444" s="7">
        <v>95</v>
      </c>
      <c r="J444" t="s">
        <v>1154</v>
      </c>
      <c r="K444" s="5" t="s">
        <v>939</v>
      </c>
      <c r="L444" t="s">
        <v>813</v>
      </c>
      <c r="M444">
        <f>IF(L444=C444,1,0)</f>
        <v>0</v>
      </c>
      <c r="N444" t="s">
        <v>1023</v>
      </c>
    </row>
    <row r="445" spans="1:14" x14ac:dyDescent="0.3">
      <c r="A445" t="s">
        <v>784</v>
      </c>
      <c r="B445" t="s">
        <v>32</v>
      </c>
      <c r="C445" t="s">
        <v>802</v>
      </c>
      <c r="D445" t="s">
        <v>482</v>
      </c>
      <c r="E445" t="s">
        <v>764</v>
      </c>
      <c r="F445" t="s">
        <v>764</v>
      </c>
      <c r="G445" t="s">
        <v>764</v>
      </c>
      <c r="H445">
        <v>26.112394699999999</v>
      </c>
      <c r="I445" s="7">
        <v>95.012404099999998</v>
      </c>
      <c r="J445">
        <v>0</v>
      </c>
      <c r="K445" s="5"/>
    </row>
    <row r="446" spans="1:14" x14ac:dyDescent="0.3">
      <c r="A446" t="s">
        <v>784</v>
      </c>
      <c r="B446" t="s">
        <v>32</v>
      </c>
      <c r="C446" t="s">
        <v>802</v>
      </c>
      <c r="D446" t="s">
        <v>483</v>
      </c>
      <c r="E446" t="s">
        <v>764</v>
      </c>
      <c r="F446" t="s">
        <v>764</v>
      </c>
      <c r="G446" t="s">
        <v>764</v>
      </c>
      <c r="H446">
        <v>25.449969100000001</v>
      </c>
      <c r="I446" s="7">
        <v>93.600173799999993</v>
      </c>
      <c r="J446">
        <v>0</v>
      </c>
      <c r="K446" s="5"/>
    </row>
    <row r="447" spans="1:14" x14ac:dyDescent="0.3">
      <c r="A447" t="s">
        <v>784</v>
      </c>
      <c r="B447" t="s">
        <v>32</v>
      </c>
      <c r="C447" t="s">
        <v>802</v>
      </c>
      <c r="D447" t="s">
        <v>484</v>
      </c>
      <c r="E447" t="s">
        <v>764</v>
      </c>
      <c r="F447" t="s">
        <v>764</v>
      </c>
      <c r="G447" t="s">
        <v>764</v>
      </c>
      <c r="H447">
        <v>25.670092400000001</v>
      </c>
      <c r="I447" s="7">
        <v>94.384392500000004</v>
      </c>
      <c r="J447">
        <v>0</v>
      </c>
      <c r="K447" s="5"/>
    </row>
    <row r="448" spans="1:14" x14ac:dyDescent="0.3">
      <c r="A448" t="s">
        <v>784</v>
      </c>
      <c r="B448" t="s">
        <v>32</v>
      </c>
      <c r="C448" t="s">
        <v>802</v>
      </c>
      <c r="D448" t="s">
        <v>485</v>
      </c>
      <c r="E448" t="s">
        <v>764</v>
      </c>
      <c r="F448" t="s">
        <v>764</v>
      </c>
      <c r="G448" t="s">
        <v>764</v>
      </c>
      <c r="H448">
        <v>26.234210699999998</v>
      </c>
      <c r="I448" s="7">
        <v>94.741552999999996</v>
      </c>
      <c r="J448">
        <v>0</v>
      </c>
      <c r="K448" s="5"/>
    </row>
    <row r="449" spans="1:13" x14ac:dyDescent="0.3">
      <c r="A449" t="s">
        <v>784</v>
      </c>
      <c r="B449" t="s">
        <v>32</v>
      </c>
      <c r="C449" t="s">
        <v>802</v>
      </c>
      <c r="D449" t="s">
        <v>486</v>
      </c>
      <c r="E449" t="s">
        <v>764</v>
      </c>
      <c r="F449" t="s">
        <v>764</v>
      </c>
      <c r="G449" t="s">
        <v>764</v>
      </c>
      <c r="H449">
        <v>26.242251</v>
      </c>
      <c r="I449" s="7">
        <v>94.192115299999998</v>
      </c>
      <c r="J449">
        <v>0</v>
      </c>
      <c r="K449" s="5"/>
    </row>
    <row r="450" spans="1:13" x14ac:dyDescent="0.3">
      <c r="A450" t="s">
        <v>784</v>
      </c>
      <c r="B450" t="s">
        <v>32</v>
      </c>
      <c r="C450" t="s">
        <v>802</v>
      </c>
      <c r="D450" t="s">
        <v>487</v>
      </c>
      <c r="E450" t="s">
        <v>764</v>
      </c>
      <c r="F450" t="s">
        <v>764</v>
      </c>
      <c r="G450" t="s">
        <v>764</v>
      </c>
      <c r="H450">
        <v>26.0123803</v>
      </c>
      <c r="I450" s="7">
        <v>94.512371900000005</v>
      </c>
      <c r="J450">
        <v>0</v>
      </c>
      <c r="K450" s="5"/>
    </row>
    <row r="451" spans="1:13" x14ac:dyDescent="0.3">
      <c r="A451" t="s">
        <v>784</v>
      </c>
      <c r="B451" t="s">
        <v>33</v>
      </c>
      <c r="C451" t="s">
        <v>803</v>
      </c>
      <c r="D451" t="s">
        <v>488</v>
      </c>
      <c r="E451" t="s">
        <v>764</v>
      </c>
      <c r="F451" t="s">
        <v>764</v>
      </c>
      <c r="G451" t="s">
        <v>764</v>
      </c>
      <c r="H451">
        <v>21.102537999999999</v>
      </c>
      <c r="I451" s="7">
        <v>84.953682499999999</v>
      </c>
      <c r="J451" t="s">
        <v>1155</v>
      </c>
      <c r="K451" s="5" t="s">
        <v>940</v>
      </c>
      <c r="L451" t="s">
        <v>803</v>
      </c>
      <c r="M451">
        <f>IF(L451=C451,1,0)</f>
        <v>1</v>
      </c>
    </row>
    <row r="452" spans="1:13" x14ac:dyDescent="0.3">
      <c r="A452" t="s">
        <v>784</v>
      </c>
      <c r="B452" t="s">
        <v>33</v>
      </c>
      <c r="C452" t="s">
        <v>803</v>
      </c>
      <c r="D452" t="s">
        <v>489</v>
      </c>
      <c r="E452" t="s">
        <v>764</v>
      </c>
      <c r="F452" t="s">
        <v>764</v>
      </c>
      <c r="G452" t="s">
        <v>764</v>
      </c>
      <c r="H452">
        <v>20.609518300000001</v>
      </c>
      <c r="I452" s="7">
        <v>83.167302899999996</v>
      </c>
      <c r="J452">
        <v>0</v>
      </c>
      <c r="K452" s="5"/>
    </row>
    <row r="453" spans="1:13" x14ac:dyDescent="0.3">
      <c r="A453" t="s">
        <v>784</v>
      </c>
      <c r="B453" t="s">
        <v>33</v>
      </c>
      <c r="C453" t="s">
        <v>803</v>
      </c>
      <c r="D453" t="s">
        <v>490</v>
      </c>
      <c r="E453" t="s">
        <v>764</v>
      </c>
      <c r="F453" t="s">
        <v>764</v>
      </c>
      <c r="G453" t="s">
        <v>764</v>
      </c>
      <c r="H453">
        <v>21.5006421</v>
      </c>
      <c r="I453" s="7">
        <v>86.919883999999996</v>
      </c>
      <c r="J453" t="s">
        <v>1156</v>
      </c>
      <c r="K453" s="5" t="s">
        <v>941</v>
      </c>
      <c r="L453" t="s">
        <v>803</v>
      </c>
      <c r="M453">
        <f>IF(L453=C453,1,0)</f>
        <v>1</v>
      </c>
    </row>
    <row r="454" spans="1:13" x14ac:dyDescent="0.3">
      <c r="A454" t="s">
        <v>784</v>
      </c>
      <c r="B454" t="s">
        <v>33</v>
      </c>
      <c r="C454" t="s">
        <v>803</v>
      </c>
      <c r="D454" t="s">
        <v>491</v>
      </c>
      <c r="E454" t="s">
        <v>767</v>
      </c>
      <c r="F454" t="s">
        <v>767</v>
      </c>
      <c r="G454" t="s">
        <v>767</v>
      </c>
      <c r="H454">
        <v>21.231992200000001</v>
      </c>
      <c r="I454" s="7">
        <v>83.565273700000006</v>
      </c>
      <c r="J454">
        <v>0</v>
      </c>
      <c r="K454" s="5"/>
    </row>
    <row r="455" spans="1:13" x14ac:dyDescent="0.3">
      <c r="A455" t="s">
        <v>784</v>
      </c>
      <c r="B455" t="s">
        <v>33</v>
      </c>
      <c r="C455" t="s">
        <v>803</v>
      </c>
      <c r="D455" t="s">
        <v>492</v>
      </c>
      <c r="E455" t="s">
        <v>764</v>
      </c>
      <c r="F455" t="s">
        <v>764</v>
      </c>
      <c r="G455" t="s">
        <v>764</v>
      </c>
      <c r="H455">
        <v>20.985405199999999</v>
      </c>
      <c r="I455" s="7">
        <v>86.593422599999997</v>
      </c>
      <c r="J455">
        <v>0</v>
      </c>
      <c r="K455" s="5"/>
    </row>
    <row r="456" spans="1:13" x14ac:dyDescent="0.3">
      <c r="A456" t="s">
        <v>784</v>
      </c>
      <c r="B456" t="s">
        <v>33</v>
      </c>
      <c r="C456" t="s">
        <v>803</v>
      </c>
      <c r="D456" t="s">
        <v>493</v>
      </c>
      <c r="E456" t="s">
        <v>764</v>
      </c>
      <c r="F456" t="s">
        <v>764</v>
      </c>
      <c r="G456" t="s">
        <v>764</v>
      </c>
      <c r="H456">
        <v>20.6407463</v>
      </c>
      <c r="I456" s="7">
        <v>83.996970399999995</v>
      </c>
      <c r="J456">
        <v>0</v>
      </c>
      <c r="K456" s="5"/>
    </row>
    <row r="457" spans="1:13" x14ac:dyDescent="0.3">
      <c r="A457" t="s">
        <v>784</v>
      </c>
      <c r="B457" t="s">
        <v>33</v>
      </c>
      <c r="C457" t="s">
        <v>803</v>
      </c>
      <c r="D457" t="s">
        <v>494</v>
      </c>
      <c r="E457" t="s">
        <v>764</v>
      </c>
      <c r="F457" t="s">
        <v>764</v>
      </c>
      <c r="G457" t="s">
        <v>764</v>
      </c>
      <c r="H457">
        <v>20.468599999999999</v>
      </c>
      <c r="I457" s="7">
        <v>85.879199999999997</v>
      </c>
      <c r="J457" t="s">
        <v>1157</v>
      </c>
      <c r="K457" s="5" t="s">
        <v>942</v>
      </c>
      <c r="L457" t="s">
        <v>803</v>
      </c>
      <c r="M457">
        <f>IF(L457=C457,1,0)</f>
        <v>1</v>
      </c>
    </row>
    <row r="458" spans="1:13" x14ac:dyDescent="0.3">
      <c r="A458" t="s">
        <v>784</v>
      </c>
      <c r="B458" t="s">
        <v>33</v>
      </c>
      <c r="C458" t="s">
        <v>803</v>
      </c>
      <c r="D458" t="s">
        <v>495</v>
      </c>
      <c r="E458" t="s">
        <v>764</v>
      </c>
      <c r="F458" t="s">
        <v>764</v>
      </c>
      <c r="G458" t="s">
        <v>764</v>
      </c>
      <c r="H458">
        <v>21.447796199999999</v>
      </c>
      <c r="I458" s="7">
        <v>84.717420399999995</v>
      </c>
      <c r="J458">
        <v>0</v>
      </c>
      <c r="K458" s="5"/>
    </row>
    <row r="459" spans="1:13" x14ac:dyDescent="0.3">
      <c r="A459" t="s">
        <v>784</v>
      </c>
      <c r="B459" t="s">
        <v>33</v>
      </c>
      <c r="C459" t="s">
        <v>803</v>
      </c>
      <c r="D459" t="s">
        <v>496</v>
      </c>
      <c r="E459" t="s">
        <v>764</v>
      </c>
      <c r="F459" t="s">
        <v>764</v>
      </c>
      <c r="G459" t="s">
        <v>764</v>
      </c>
      <c r="H459">
        <v>20.835149399999999</v>
      </c>
      <c r="I459" s="7">
        <v>85.602230500000005</v>
      </c>
      <c r="J459">
        <v>0</v>
      </c>
      <c r="K459" s="5"/>
    </row>
    <row r="460" spans="1:13" x14ac:dyDescent="0.3">
      <c r="A460" t="s">
        <v>784</v>
      </c>
      <c r="B460" t="s">
        <v>33</v>
      </c>
      <c r="C460" t="s">
        <v>803</v>
      </c>
      <c r="D460" t="s">
        <v>497</v>
      </c>
      <c r="E460" t="s">
        <v>764</v>
      </c>
      <c r="F460" t="s">
        <v>764</v>
      </c>
      <c r="G460" t="s">
        <v>764</v>
      </c>
      <c r="H460">
        <v>19.196602599999999</v>
      </c>
      <c r="I460" s="7">
        <v>84.1930634</v>
      </c>
      <c r="J460">
        <v>0</v>
      </c>
      <c r="K460" s="5"/>
    </row>
    <row r="461" spans="1:13" x14ac:dyDescent="0.3">
      <c r="A461" t="s">
        <v>784</v>
      </c>
      <c r="B461" t="s">
        <v>33</v>
      </c>
      <c r="C461" t="s">
        <v>803</v>
      </c>
      <c r="D461" t="s">
        <v>498</v>
      </c>
      <c r="E461" t="s">
        <v>764</v>
      </c>
      <c r="F461" t="s">
        <v>764</v>
      </c>
      <c r="G461" t="s">
        <v>764</v>
      </c>
      <c r="H461">
        <v>19.6090068</v>
      </c>
      <c r="I461" s="7">
        <v>84.708063300000006</v>
      </c>
      <c r="J461">
        <v>0</v>
      </c>
      <c r="K461" s="5"/>
    </row>
    <row r="462" spans="1:13" x14ac:dyDescent="0.3">
      <c r="A462" t="s">
        <v>784</v>
      </c>
      <c r="B462" t="s">
        <v>33</v>
      </c>
      <c r="C462" t="s">
        <v>803</v>
      </c>
      <c r="D462" t="s">
        <v>499</v>
      </c>
      <c r="E462" t="s">
        <v>764</v>
      </c>
      <c r="F462" t="s">
        <v>764</v>
      </c>
      <c r="G462" t="s">
        <v>764</v>
      </c>
      <c r="H462">
        <v>20.259387199999999</v>
      </c>
      <c r="I462" s="7">
        <v>86.1660878</v>
      </c>
      <c r="J462">
        <v>0</v>
      </c>
      <c r="K462" s="5"/>
    </row>
    <row r="463" spans="1:13" x14ac:dyDescent="0.3">
      <c r="A463" t="s">
        <v>784</v>
      </c>
      <c r="B463" t="s">
        <v>33</v>
      </c>
      <c r="C463" t="s">
        <v>803</v>
      </c>
      <c r="D463" t="s">
        <v>500</v>
      </c>
      <c r="E463" t="s">
        <v>764</v>
      </c>
      <c r="F463" t="s">
        <v>764</v>
      </c>
      <c r="G463" t="s">
        <v>764</v>
      </c>
      <c r="H463">
        <v>20.874678800000002</v>
      </c>
      <c r="I463" s="7">
        <v>86.121539299999995</v>
      </c>
      <c r="J463">
        <v>0</v>
      </c>
      <c r="K463" s="5"/>
    </row>
    <row r="464" spans="1:13" x14ac:dyDescent="0.3">
      <c r="A464" t="s">
        <v>784</v>
      </c>
      <c r="B464" t="s">
        <v>33</v>
      </c>
      <c r="C464" t="s">
        <v>803</v>
      </c>
      <c r="D464" t="s">
        <v>501</v>
      </c>
      <c r="E464" t="s">
        <v>778</v>
      </c>
      <c r="F464" t="s">
        <v>767</v>
      </c>
      <c r="G464" t="s">
        <v>767</v>
      </c>
      <c r="H464">
        <v>21.8019368</v>
      </c>
      <c r="I464" s="7">
        <v>83.971396400000003</v>
      </c>
      <c r="J464" t="s">
        <v>1158</v>
      </c>
      <c r="K464" s="5" t="s">
        <v>943</v>
      </c>
      <c r="L464" t="s">
        <v>803</v>
      </c>
      <c r="M464">
        <f>IF(L464=C464,1,0)</f>
        <v>1</v>
      </c>
    </row>
    <row r="465" spans="1:13" x14ac:dyDescent="0.3">
      <c r="A465" t="s">
        <v>784</v>
      </c>
      <c r="B465" t="s">
        <v>33</v>
      </c>
      <c r="C465" t="s">
        <v>803</v>
      </c>
      <c r="D465" t="s">
        <v>502</v>
      </c>
      <c r="E465" t="s">
        <v>764</v>
      </c>
      <c r="F465" t="s">
        <v>764</v>
      </c>
      <c r="G465" t="s">
        <v>764</v>
      </c>
      <c r="H465">
        <v>19.826575699999999</v>
      </c>
      <c r="I465" s="7">
        <v>83.040870200000001</v>
      </c>
      <c r="J465">
        <v>0</v>
      </c>
      <c r="K465" s="5"/>
    </row>
    <row r="466" spans="1:13" x14ac:dyDescent="0.3">
      <c r="A466" t="s">
        <v>784</v>
      </c>
      <c r="B466" t="s">
        <v>33</v>
      </c>
      <c r="C466" t="s">
        <v>803</v>
      </c>
      <c r="D466" t="s">
        <v>503</v>
      </c>
      <c r="E466" t="s">
        <v>764</v>
      </c>
      <c r="F466" t="s">
        <v>764</v>
      </c>
      <c r="G466" t="s">
        <v>764</v>
      </c>
      <c r="H466">
        <v>20.130693900000001</v>
      </c>
      <c r="I466" s="7">
        <v>84.079047599999996</v>
      </c>
      <c r="J466">
        <v>0</v>
      </c>
      <c r="K466" s="5"/>
    </row>
    <row r="467" spans="1:13" x14ac:dyDescent="0.3">
      <c r="A467" t="s">
        <v>784</v>
      </c>
      <c r="B467" t="s">
        <v>33</v>
      </c>
      <c r="C467" t="s">
        <v>803</v>
      </c>
      <c r="D467" t="s">
        <v>504</v>
      </c>
      <c r="E467" t="s">
        <v>764</v>
      </c>
      <c r="F467" t="s">
        <v>764</v>
      </c>
      <c r="G467" t="s">
        <v>764</v>
      </c>
      <c r="H467">
        <v>20.547516399999999</v>
      </c>
      <c r="I467" s="7">
        <v>86.529616799999999</v>
      </c>
      <c r="J467">
        <v>0</v>
      </c>
      <c r="K467" s="5"/>
    </row>
    <row r="468" spans="1:13" x14ac:dyDescent="0.3">
      <c r="A468" t="s">
        <v>784</v>
      </c>
      <c r="B468" t="s">
        <v>33</v>
      </c>
      <c r="C468" t="s">
        <v>803</v>
      </c>
      <c r="D468" t="s">
        <v>505</v>
      </c>
      <c r="E468" t="s">
        <v>764</v>
      </c>
      <c r="F468" t="s">
        <v>764</v>
      </c>
      <c r="G468" t="s">
        <v>764</v>
      </c>
      <c r="H468">
        <v>21.589232299999999</v>
      </c>
      <c r="I468" s="7">
        <v>85.668784099999996</v>
      </c>
      <c r="J468">
        <v>0</v>
      </c>
      <c r="K468" s="5"/>
    </row>
    <row r="469" spans="1:13" x14ac:dyDescent="0.3">
      <c r="A469" t="s">
        <v>784</v>
      </c>
      <c r="B469" t="s">
        <v>33</v>
      </c>
      <c r="C469" t="s">
        <v>803</v>
      </c>
      <c r="D469" t="s">
        <v>506</v>
      </c>
      <c r="E469" t="s">
        <v>764</v>
      </c>
      <c r="F469" t="s">
        <v>764</v>
      </c>
      <c r="G469" t="s">
        <v>764</v>
      </c>
      <c r="H469">
        <v>20.053814899999999</v>
      </c>
      <c r="I469" s="7">
        <v>85.502330799999996</v>
      </c>
      <c r="J469">
        <v>0</v>
      </c>
      <c r="K469" s="5"/>
    </row>
    <row r="470" spans="1:13" x14ac:dyDescent="0.3">
      <c r="A470" t="s">
        <v>784</v>
      </c>
      <c r="B470" t="s">
        <v>33</v>
      </c>
      <c r="C470" t="s">
        <v>803</v>
      </c>
      <c r="D470" t="s">
        <v>507</v>
      </c>
      <c r="E470" t="s">
        <v>764</v>
      </c>
      <c r="F470" t="s">
        <v>764</v>
      </c>
      <c r="G470" t="s">
        <v>764</v>
      </c>
      <c r="H470">
        <v>18.723202300000001</v>
      </c>
      <c r="I470" s="7">
        <v>82.6100596</v>
      </c>
      <c r="J470" t="s">
        <v>1159</v>
      </c>
      <c r="K470" s="5" t="s">
        <v>944</v>
      </c>
      <c r="L470" t="s">
        <v>803</v>
      </c>
      <c r="M470">
        <f>IF(L470=C470,1,0)</f>
        <v>1</v>
      </c>
    </row>
    <row r="471" spans="1:13" x14ac:dyDescent="0.3">
      <c r="A471" t="s">
        <v>784</v>
      </c>
      <c r="B471" t="s">
        <v>33</v>
      </c>
      <c r="C471" t="s">
        <v>803</v>
      </c>
      <c r="D471" t="s">
        <v>508</v>
      </c>
      <c r="E471" t="s">
        <v>764</v>
      </c>
      <c r="F471" t="s">
        <v>764</v>
      </c>
      <c r="G471" t="s">
        <v>764</v>
      </c>
      <c r="H471">
        <v>18.274468500000001</v>
      </c>
      <c r="I471" s="7">
        <v>81.952031599999998</v>
      </c>
      <c r="J471">
        <v>0</v>
      </c>
      <c r="K471" s="5"/>
    </row>
    <row r="472" spans="1:13" x14ac:dyDescent="0.3">
      <c r="A472" t="s">
        <v>784</v>
      </c>
      <c r="B472" t="s">
        <v>33</v>
      </c>
      <c r="C472" t="s">
        <v>803</v>
      </c>
      <c r="D472" t="s">
        <v>509</v>
      </c>
      <c r="E472" t="s">
        <v>764</v>
      </c>
      <c r="F472" t="s">
        <v>764</v>
      </c>
      <c r="G472" t="s">
        <v>764</v>
      </c>
      <c r="H472">
        <v>21.915633799999998</v>
      </c>
      <c r="I472" s="7">
        <v>86.396182400000001</v>
      </c>
      <c r="J472">
        <v>0</v>
      </c>
      <c r="K472" s="5"/>
    </row>
    <row r="473" spans="1:13" x14ac:dyDescent="0.3">
      <c r="A473" t="s">
        <v>784</v>
      </c>
      <c r="B473" t="s">
        <v>33</v>
      </c>
      <c r="C473" t="s">
        <v>803</v>
      </c>
      <c r="D473" t="s">
        <v>510</v>
      </c>
      <c r="E473" t="s">
        <v>764</v>
      </c>
      <c r="F473" t="s">
        <v>764</v>
      </c>
      <c r="G473" t="s">
        <v>764</v>
      </c>
      <c r="H473">
        <v>19.228895999999999</v>
      </c>
      <c r="I473" s="7">
        <v>82.566571499999995</v>
      </c>
      <c r="J473">
        <v>0</v>
      </c>
      <c r="K473" s="5"/>
    </row>
    <row r="474" spans="1:13" x14ac:dyDescent="0.3">
      <c r="A474" t="s">
        <v>784</v>
      </c>
      <c r="B474" t="s">
        <v>33</v>
      </c>
      <c r="C474" t="s">
        <v>803</v>
      </c>
      <c r="D474" t="s">
        <v>511</v>
      </c>
      <c r="E474" t="s">
        <v>764</v>
      </c>
      <c r="F474" t="s">
        <v>764</v>
      </c>
      <c r="G474" t="s">
        <v>764</v>
      </c>
      <c r="H474">
        <v>20.239368299999999</v>
      </c>
      <c r="I474" s="7">
        <v>85.050728000000007</v>
      </c>
      <c r="J474">
        <v>0</v>
      </c>
      <c r="K474" s="5"/>
    </row>
    <row r="475" spans="1:13" x14ac:dyDescent="0.3">
      <c r="A475" t="s">
        <v>784</v>
      </c>
      <c r="B475" t="s">
        <v>33</v>
      </c>
      <c r="C475" t="s">
        <v>803</v>
      </c>
      <c r="D475" t="s">
        <v>512</v>
      </c>
      <c r="E475" t="s">
        <v>767</v>
      </c>
      <c r="F475" t="s">
        <v>767</v>
      </c>
      <c r="G475" t="s">
        <v>767</v>
      </c>
      <c r="H475">
        <v>20.5412657</v>
      </c>
      <c r="I475" s="7">
        <v>82.529235200000002</v>
      </c>
      <c r="J475">
        <v>0</v>
      </c>
      <c r="K475" s="5"/>
    </row>
    <row r="476" spans="1:13" x14ac:dyDescent="0.3">
      <c r="A476" t="s">
        <v>784</v>
      </c>
      <c r="B476" t="s">
        <v>33</v>
      </c>
      <c r="C476" t="s">
        <v>803</v>
      </c>
      <c r="D476" t="s">
        <v>513</v>
      </c>
      <c r="E476" t="s">
        <v>764</v>
      </c>
      <c r="F476" t="s">
        <v>764</v>
      </c>
      <c r="G476" t="s">
        <v>764</v>
      </c>
      <c r="H476">
        <v>19.807608299999998</v>
      </c>
      <c r="I476" s="7">
        <v>85.825253799999999</v>
      </c>
      <c r="J476" t="s">
        <v>1160</v>
      </c>
      <c r="K476" s="5" t="s">
        <v>945</v>
      </c>
      <c r="L476" t="s">
        <v>803</v>
      </c>
      <c r="M476">
        <f>IF(L476=C476,1,0)</f>
        <v>1</v>
      </c>
    </row>
    <row r="477" spans="1:13" x14ac:dyDescent="0.3">
      <c r="A477" t="s">
        <v>784</v>
      </c>
      <c r="B477" t="s">
        <v>33</v>
      </c>
      <c r="C477" t="s">
        <v>803</v>
      </c>
      <c r="D477" t="s">
        <v>514</v>
      </c>
      <c r="E477" t="s">
        <v>764</v>
      </c>
      <c r="F477" t="s">
        <v>764</v>
      </c>
      <c r="G477" t="s">
        <v>764</v>
      </c>
      <c r="H477">
        <v>19.442669800000001</v>
      </c>
      <c r="I477" s="7">
        <v>83.587305299999997</v>
      </c>
      <c r="J477">
        <v>0</v>
      </c>
      <c r="K477" s="5"/>
    </row>
    <row r="478" spans="1:13" x14ac:dyDescent="0.3">
      <c r="A478" t="s">
        <v>784</v>
      </c>
      <c r="B478" t="s">
        <v>33</v>
      </c>
      <c r="C478" t="s">
        <v>803</v>
      </c>
      <c r="D478" t="s">
        <v>515</v>
      </c>
      <c r="E478" t="s">
        <v>764</v>
      </c>
      <c r="F478" t="s">
        <v>764</v>
      </c>
      <c r="G478" t="s">
        <v>764</v>
      </c>
      <c r="H478">
        <v>21.5570606</v>
      </c>
      <c r="I478" s="7">
        <v>84.152851499999997</v>
      </c>
      <c r="J478" t="s">
        <v>1078</v>
      </c>
      <c r="K478" s="5" t="s">
        <v>863</v>
      </c>
      <c r="L478" t="s">
        <v>803</v>
      </c>
      <c r="M478">
        <f>IF(L478=C478,1,0)</f>
        <v>1</v>
      </c>
    </row>
    <row r="479" spans="1:13" x14ac:dyDescent="0.3">
      <c r="A479" t="s">
        <v>784</v>
      </c>
      <c r="B479" t="s">
        <v>33</v>
      </c>
      <c r="C479" t="s">
        <v>803</v>
      </c>
      <c r="D479" t="s">
        <v>516</v>
      </c>
      <c r="E479" t="s">
        <v>764</v>
      </c>
      <c r="F479" t="s">
        <v>764</v>
      </c>
      <c r="G479" t="s">
        <v>764</v>
      </c>
      <c r="H479">
        <v>20.8535784</v>
      </c>
      <c r="I479" s="7">
        <v>83.852915899999999</v>
      </c>
      <c r="J479">
        <v>0</v>
      </c>
      <c r="K479" s="5"/>
    </row>
    <row r="480" spans="1:13" x14ac:dyDescent="0.3">
      <c r="A480" t="s">
        <v>784</v>
      </c>
      <c r="B480" t="s">
        <v>33</v>
      </c>
      <c r="C480" t="s">
        <v>803</v>
      </c>
      <c r="D480" t="s">
        <v>517</v>
      </c>
      <c r="E480" t="s">
        <v>764</v>
      </c>
      <c r="F480" t="s">
        <v>764</v>
      </c>
      <c r="G480" t="s">
        <v>764</v>
      </c>
      <c r="H480">
        <v>22.117208099999999</v>
      </c>
      <c r="I480" s="7">
        <v>84.020098200000007</v>
      </c>
      <c r="J480">
        <v>0</v>
      </c>
      <c r="K480" s="5"/>
    </row>
    <row r="481" spans="1:13" x14ac:dyDescent="0.3">
      <c r="A481" t="s">
        <v>784</v>
      </c>
      <c r="B481" t="s">
        <v>34</v>
      </c>
      <c r="C481" t="s">
        <v>804</v>
      </c>
      <c r="D481" t="s">
        <v>518</v>
      </c>
      <c r="E481" t="s">
        <v>764</v>
      </c>
      <c r="F481" t="s">
        <v>764</v>
      </c>
      <c r="G481" t="s">
        <v>764</v>
      </c>
      <c r="H481">
        <v>10.915710000000001</v>
      </c>
      <c r="I481" s="7">
        <v>79.837576100000007</v>
      </c>
      <c r="J481" t="s">
        <v>1161</v>
      </c>
      <c r="K481" s="5" t="s">
        <v>946</v>
      </c>
      <c r="L481" t="s">
        <v>804</v>
      </c>
      <c r="M481">
        <f>IF(L481=C481,1,0)</f>
        <v>1</v>
      </c>
    </row>
    <row r="482" spans="1:13" x14ac:dyDescent="0.3">
      <c r="A482" t="s">
        <v>784</v>
      </c>
      <c r="B482" t="s">
        <v>34</v>
      </c>
      <c r="C482" t="s">
        <v>804</v>
      </c>
      <c r="D482" t="s">
        <v>519</v>
      </c>
      <c r="E482" t="s">
        <v>764</v>
      </c>
      <c r="F482" t="s">
        <v>764</v>
      </c>
      <c r="G482" t="s">
        <v>764</v>
      </c>
      <c r="H482">
        <v>11.7021978</v>
      </c>
      <c r="I482" s="7">
        <v>75.536470100000003</v>
      </c>
      <c r="J482">
        <v>0</v>
      </c>
      <c r="K482" s="5"/>
    </row>
    <row r="483" spans="1:13" x14ac:dyDescent="0.3">
      <c r="A483" t="s">
        <v>784</v>
      </c>
      <c r="B483" t="s">
        <v>34</v>
      </c>
      <c r="C483" t="s">
        <v>804</v>
      </c>
      <c r="D483" t="s">
        <v>34</v>
      </c>
      <c r="E483" t="s">
        <v>764</v>
      </c>
      <c r="F483" t="s">
        <v>764</v>
      </c>
      <c r="G483" t="s">
        <v>764</v>
      </c>
      <c r="H483">
        <v>11.9340568</v>
      </c>
      <c r="I483" s="7">
        <v>79.830644699999993</v>
      </c>
      <c r="J483" t="s">
        <v>1162</v>
      </c>
      <c r="K483" s="5" t="s">
        <v>947</v>
      </c>
      <c r="L483" t="s">
        <v>804</v>
      </c>
      <c r="M483">
        <f>IF(L483=C483,1,0)</f>
        <v>1</v>
      </c>
    </row>
    <row r="484" spans="1:13" x14ac:dyDescent="0.3">
      <c r="A484" t="s">
        <v>784</v>
      </c>
      <c r="B484" t="s">
        <v>34</v>
      </c>
      <c r="C484" t="s">
        <v>804</v>
      </c>
      <c r="D484" t="s">
        <v>520</v>
      </c>
      <c r="E484" t="s">
        <v>764</v>
      </c>
      <c r="F484" t="s">
        <v>764</v>
      </c>
      <c r="G484" t="s">
        <v>764</v>
      </c>
      <c r="H484">
        <v>16.77</v>
      </c>
      <c r="I484">
        <v>82.32</v>
      </c>
      <c r="J484">
        <v>0</v>
      </c>
      <c r="K484" s="5"/>
    </row>
    <row r="485" spans="1:13" x14ac:dyDescent="0.3">
      <c r="A485" t="s">
        <v>784</v>
      </c>
      <c r="B485" t="s">
        <v>35</v>
      </c>
      <c r="C485" t="s">
        <v>805</v>
      </c>
      <c r="D485" t="s">
        <v>521</v>
      </c>
      <c r="E485" t="s">
        <v>767</v>
      </c>
      <c r="F485" t="s">
        <v>767</v>
      </c>
      <c r="G485" t="s">
        <v>767</v>
      </c>
      <c r="H485">
        <v>31.62</v>
      </c>
      <c r="I485">
        <v>74.92</v>
      </c>
      <c r="J485" t="s">
        <v>1163</v>
      </c>
      <c r="K485" s="5" t="s">
        <v>948</v>
      </c>
      <c r="L485" t="s">
        <v>805</v>
      </c>
      <c r="M485">
        <f>IF(L485=C485,1,0)</f>
        <v>1</v>
      </c>
    </row>
    <row r="486" spans="1:13" x14ac:dyDescent="0.3">
      <c r="A486" t="s">
        <v>784</v>
      </c>
      <c r="B486" t="s">
        <v>35</v>
      </c>
      <c r="C486" t="s">
        <v>805</v>
      </c>
      <c r="D486" t="s">
        <v>522</v>
      </c>
      <c r="E486" t="s">
        <v>767</v>
      </c>
      <c r="F486" t="s">
        <v>767</v>
      </c>
      <c r="G486" t="s">
        <v>767</v>
      </c>
      <c r="H486">
        <v>30.3716802</v>
      </c>
      <c r="I486" s="7">
        <v>75.503988699999994</v>
      </c>
      <c r="J486">
        <v>0</v>
      </c>
      <c r="K486" s="5"/>
    </row>
    <row r="487" spans="1:13" x14ac:dyDescent="0.3">
      <c r="A487" t="s">
        <v>784</v>
      </c>
      <c r="B487" t="s">
        <v>35</v>
      </c>
      <c r="C487" t="s">
        <v>805</v>
      </c>
      <c r="D487" t="s">
        <v>523</v>
      </c>
      <c r="E487" t="s">
        <v>767</v>
      </c>
      <c r="F487" t="s">
        <v>767</v>
      </c>
      <c r="G487" t="s">
        <v>767</v>
      </c>
      <c r="H487">
        <v>30.18</v>
      </c>
      <c r="I487">
        <v>75</v>
      </c>
      <c r="J487">
        <v>0</v>
      </c>
      <c r="K487" s="5"/>
    </row>
    <row r="488" spans="1:13" x14ac:dyDescent="0.3">
      <c r="A488" t="s">
        <v>784</v>
      </c>
      <c r="B488" t="s">
        <v>35</v>
      </c>
      <c r="C488" t="s">
        <v>805</v>
      </c>
      <c r="D488" t="s">
        <v>524</v>
      </c>
      <c r="E488" t="s">
        <v>767</v>
      </c>
      <c r="F488" t="s">
        <v>767</v>
      </c>
      <c r="G488" t="s">
        <v>767</v>
      </c>
      <c r="H488">
        <v>30.67</v>
      </c>
      <c r="I488">
        <v>74.75</v>
      </c>
      <c r="J488">
        <v>0</v>
      </c>
      <c r="K488" s="5"/>
    </row>
    <row r="489" spans="1:13" x14ac:dyDescent="0.3">
      <c r="A489" t="s">
        <v>784</v>
      </c>
      <c r="B489" t="s">
        <v>35</v>
      </c>
      <c r="C489" t="s">
        <v>805</v>
      </c>
      <c r="D489" t="s">
        <v>525</v>
      </c>
      <c r="E489" t="s">
        <v>767</v>
      </c>
      <c r="F489" t="s">
        <v>767</v>
      </c>
      <c r="G489" t="s">
        <v>767</v>
      </c>
      <c r="H489">
        <v>30.52</v>
      </c>
      <c r="I489">
        <v>75.72</v>
      </c>
      <c r="J489">
        <v>0</v>
      </c>
      <c r="K489" s="5"/>
    </row>
    <row r="490" spans="1:13" x14ac:dyDescent="0.3">
      <c r="A490" t="s">
        <v>784</v>
      </c>
      <c r="B490" t="s">
        <v>35</v>
      </c>
      <c r="C490" t="s">
        <v>805</v>
      </c>
      <c r="D490" t="s">
        <v>526</v>
      </c>
      <c r="E490" t="s">
        <v>767</v>
      </c>
      <c r="F490" t="s">
        <v>767</v>
      </c>
      <c r="G490" t="s">
        <v>767</v>
      </c>
      <c r="H490">
        <v>30.319840599999999</v>
      </c>
      <c r="I490" s="7">
        <v>74.121794300000005</v>
      </c>
      <c r="J490">
        <v>0</v>
      </c>
      <c r="K490" s="5"/>
    </row>
    <row r="491" spans="1:13" x14ac:dyDescent="0.3">
      <c r="A491" t="s">
        <v>784</v>
      </c>
      <c r="B491" t="s">
        <v>35</v>
      </c>
      <c r="C491" t="s">
        <v>805</v>
      </c>
      <c r="D491" t="s">
        <v>527</v>
      </c>
      <c r="E491" t="s">
        <v>767</v>
      </c>
      <c r="F491" t="s">
        <v>767</v>
      </c>
      <c r="G491" t="s">
        <v>767</v>
      </c>
      <c r="H491">
        <v>30.92</v>
      </c>
      <c r="I491">
        <v>74.67</v>
      </c>
      <c r="J491">
        <v>0</v>
      </c>
      <c r="K491" s="5"/>
    </row>
    <row r="492" spans="1:13" x14ac:dyDescent="0.3">
      <c r="A492" t="s">
        <v>784</v>
      </c>
      <c r="B492" t="s">
        <v>35</v>
      </c>
      <c r="C492" t="s">
        <v>805</v>
      </c>
      <c r="D492" t="s">
        <v>528</v>
      </c>
      <c r="E492" t="s">
        <v>767</v>
      </c>
      <c r="F492" t="s">
        <v>767</v>
      </c>
      <c r="G492" t="s">
        <v>767</v>
      </c>
      <c r="H492">
        <v>32.049999999999997</v>
      </c>
      <c r="I492">
        <v>75.45</v>
      </c>
      <c r="J492">
        <v>0</v>
      </c>
      <c r="K492" s="5"/>
    </row>
    <row r="493" spans="1:13" x14ac:dyDescent="0.3">
      <c r="A493" t="s">
        <v>784</v>
      </c>
      <c r="B493" t="s">
        <v>35</v>
      </c>
      <c r="C493" t="s">
        <v>805</v>
      </c>
      <c r="D493" t="s">
        <v>529</v>
      </c>
      <c r="E493" t="s">
        <v>767</v>
      </c>
      <c r="F493" t="s">
        <v>767</v>
      </c>
      <c r="G493" t="s">
        <v>767</v>
      </c>
      <c r="H493">
        <v>31.53</v>
      </c>
      <c r="I493">
        <v>75.95</v>
      </c>
      <c r="J493">
        <v>0</v>
      </c>
      <c r="K493" s="5"/>
    </row>
    <row r="494" spans="1:13" x14ac:dyDescent="0.3">
      <c r="A494" t="s">
        <v>784</v>
      </c>
      <c r="B494" t="s">
        <v>35</v>
      </c>
      <c r="C494" t="s">
        <v>805</v>
      </c>
      <c r="D494" t="s">
        <v>530</v>
      </c>
      <c r="E494" t="s">
        <v>767</v>
      </c>
      <c r="F494" t="s">
        <v>767</v>
      </c>
      <c r="G494" t="s">
        <v>767</v>
      </c>
      <c r="H494">
        <v>31.32</v>
      </c>
      <c r="I494">
        <v>75.569999999999993</v>
      </c>
      <c r="J494">
        <v>0</v>
      </c>
      <c r="K494" s="5"/>
    </row>
    <row r="495" spans="1:13" x14ac:dyDescent="0.3">
      <c r="A495" t="s">
        <v>784</v>
      </c>
      <c r="B495" t="s">
        <v>35</v>
      </c>
      <c r="C495" t="s">
        <v>805</v>
      </c>
      <c r="D495" t="s">
        <v>531</v>
      </c>
      <c r="E495" t="s">
        <v>767</v>
      </c>
      <c r="F495" t="s">
        <v>767</v>
      </c>
      <c r="G495" t="s">
        <v>767</v>
      </c>
      <c r="H495">
        <v>31.38</v>
      </c>
      <c r="I495">
        <v>75.42</v>
      </c>
      <c r="J495">
        <v>0</v>
      </c>
      <c r="K495" s="5"/>
    </row>
    <row r="496" spans="1:13" x14ac:dyDescent="0.3">
      <c r="A496" t="s">
        <v>784</v>
      </c>
      <c r="B496" t="s">
        <v>35</v>
      </c>
      <c r="C496" t="s">
        <v>805</v>
      </c>
      <c r="D496" t="s">
        <v>532</v>
      </c>
      <c r="E496" t="s">
        <v>767</v>
      </c>
      <c r="F496" t="s">
        <v>767</v>
      </c>
      <c r="G496" t="s">
        <v>767</v>
      </c>
      <c r="H496">
        <v>30.92</v>
      </c>
      <c r="I496">
        <v>75.900000000000006</v>
      </c>
      <c r="J496" t="s">
        <v>1164</v>
      </c>
      <c r="K496" s="5" t="s">
        <v>949</v>
      </c>
      <c r="L496" t="s">
        <v>805</v>
      </c>
      <c r="M496">
        <f>IF(L496=C496,1,0)</f>
        <v>1</v>
      </c>
    </row>
    <row r="497" spans="1:14" x14ac:dyDescent="0.3">
      <c r="A497" t="s">
        <v>784</v>
      </c>
      <c r="B497" t="s">
        <v>35</v>
      </c>
      <c r="C497" t="s">
        <v>805</v>
      </c>
      <c r="D497" t="s">
        <v>533</v>
      </c>
      <c r="E497" t="s">
        <v>767</v>
      </c>
      <c r="F497" t="s">
        <v>767</v>
      </c>
      <c r="G497" t="s">
        <v>767</v>
      </c>
      <c r="H497">
        <v>29.97</v>
      </c>
      <c r="I497">
        <v>75.37</v>
      </c>
      <c r="J497">
        <v>0</v>
      </c>
      <c r="K497" s="5"/>
    </row>
    <row r="498" spans="1:14" x14ac:dyDescent="0.3">
      <c r="A498" t="s">
        <v>784</v>
      </c>
      <c r="B498" t="s">
        <v>35</v>
      </c>
      <c r="C498" t="s">
        <v>805</v>
      </c>
      <c r="D498" t="s">
        <v>534</v>
      </c>
      <c r="E498" t="s">
        <v>767</v>
      </c>
      <c r="F498" t="s">
        <v>767</v>
      </c>
      <c r="G498" t="s">
        <v>767</v>
      </c>
      <c r="H498">
        <v>30.8</v>
      </c>
      <c r="I498">
        <v>75.17</v>
      </c>
      <c r="J498" t="s">
        <v>1097</v>
      </c>
      <c r="K498" s="5" t="s">
        <v>882</v>
      </c>
      <c r="L498" t="s">
        <v>794</v>
      </c>
      <c r="M498">
        <f>IF(L498=C498,1,0)</f>
        <v>0</v>
      </c>
      <c r="N498" t="s">
        <v>1023</v>
      </c>
    </row>
    <row r="499" spans="1:14" x14ac:dyDescent="0.3">
      <c r="A499" t="s">
        <v>784</v>
      </c>
      <c r="B499" t="s">
        <v>35</v>
      </c>
      <c r="C499" t="s">
        <v>805</v>
      </c>
      <c r="D499" t="s">
        <v>535</v>
      </c>
      <c r="E499" t="s">
        <v>767</v>
      </c>
      <c r="F499" t="s">
        <v>767</v>
      </c>
      <c r="G499" t="s">
        <v>767</v>
      </c>
      <c r="H499">
        <v>30.704116800000001</v>
      </c>
      <c r="I499" s="7">
        <v>76.717688499999994</v>
      </c>
      <c r="J499">
        <v>0</v>
      </c>
      <c r="K499" s="5"/>
    </row>
    <row r="500" spans="1:14" x14ac:dyDescent="0.3">
      <c r="A500" t="s">
        <v>784</v>
      </c>
      <c r="B500" t="s">
        <v>35</v>
      </c>
      <c r="C500" t="s">
        <v>805</v>
      </c>
      <c r="D500" t="s">
        <v>536</v>
      </c>
      <c r="E500" t="s">
        <v>767</v>
      </c>
      <c r="F500" t="s">
        <v>767</v>
      </c>
      <c r="G500" t="s">
        <v>767</v>
      </c>
      <c r="H500">
        <v>30.5</v>
      </c>
      <c r="I500">
        <v>74.72</v>
      </c>
      <c r="J500">
        <v>0</v>
      </c>
      <c r="K500" s="5"/>
    </row>
    <row r="501" spans="1:14" x14ac:dyDescent="0.3">
      <c r="A501" t="s">
        <v>784</v>
      </c>
      <c r="B501" t="s">
        <v>35</v>
      </c>
      <c r="C501" t="s">
        <v>805</v>
      </c>
      <c r="D501" t="s">
        <v>537</v>
      </c>
      <c r="E501" t="s">
        <v>767</v>
      </c>
      <c r="F501" t="s">
        <v>767</v>
      </c>
      <c r="G501" t="s">
        <v>767</v>
      </c>
      <c r="H501">
        <v>32.302189900000002</v>
      </c>
      <c r="I501" s="7">
        <v>75.658940599999994</v>
      </c>
      <c r="J501">
        <v>0</v>
      </c>
      <c r="K501" s="5"/>
    </row>
    <row r="502" spans="1:14" x14ac:dyDescent="0.3">
      <c r="A502" t="s">
        <v>784</v>
      </c>
      <c r="B502" t="s">
        <v>35</v>
      </c>
      <c r="C502" t="s">
        <v>805</v>
      </c>
      <c r="D502" t="s">
        <v>538</v>
      </c>
      <c r="E502" t="s">
        <v>767</v>
      </c>
      <c r="F502" t="s">
        <v>767</v>
      </c>
      <c r="G502" t="s">
        <v>767</v>
      </c>
      <c r="H502">
        <v>30.03</v>
      </c>
      <c r="I502">
        <v>76.42</v>
      </c>
      <c r="J502" t="s">
        <v>1165</v>
      </c>
      <c r="K502" s="5" t="s">
        <v>950</v>
      </c>
      <c r="L502" t="s">
        <v>805</v>
      </c>
      <c r="M502">
        <f>IF(L502=C502,1,0)</f>
        <v>1</v>
      </c>
    </row>
    <row r="503" spans="1:14" x14ac:dyDescent="0.3">
      <c r="A503" t="s">
        <v>784</v>
      </c>
      <c r="B503" t="s">
        <v>35</v>
      </c>
      <c r="C503" t="s">
        <v>805</v>
      </c>
      <c r="D503" t="s">
        <v>539</v>
      </c>
      <c r="E503" t="s">
        <v>767</v>
      </c>
      <c r="F503" t="s">
        <v>767</v>
      </c>
      <c r="G503" t="s">
        <v>767</v>
      </c>
      <c r="H503">
        <v>30.95</v>
      </c>
      <c r="I503">
        <v>76.53</v>
      </c>
      <c r="J503">
        <v>0</v>
      </c>
      <c r="K503" s="5"/>
    </row>
    <row r="504" spans="1:14" x14ac:dyDescent="0.3">
      <c r="A504" t="s">
        <v>784</v>
      </c>
      <c r="B504" t="s">
        <v>35</v>
      </c>
      <c r="C504" t="s">
        <v>805</v>
      </c>
      <c r="D504" t="s">
        <v>540</v>
      </c>
      <c r="E504" t="s">
        <v>767</v>
      </c>
      <c r="F504" t="s">
        <v>767</v>
      </c>
      <c r="G504" t="s">
        <v>767</v>
      </c>
      <c r="H504">
        <v>30.2</v>
      </c>
      <c r="I504">
        <v>75.88</v>
      </c>
      <c r="J504" t="s">
        <v>1166</v>
      </c>
      <c r="K504" s="5" t="s">
        <v>951</v>
      </c>
      <c r="L504" t="s">
        <v>805</v>
      </c>
      <c r="M504">
        <f>IF(L504=C504,1,0)</f>
        <v>1</v>
      </c>
    </row>
    <row r="505" spans="1:14" x14ac:dyDescent="0.3">
      <c r="A505" t="s">
        <v>784</v>
      </c>
      <c r="B505" t="s">
        <v>35</v>
      </c>
      <c r="C505" t="s">
        <v>805</v>
      </c>
      <c r="D505" t="s">
        <v>541</v>
      </c>
      <c r="E505" t="s">
        <v>767</v>
      </c>
      <c r="F505" t="s">
        <v>767</v>
      </c>
      <c r="G505" t="s">
        <v>767</v>
      </c>
      <c r="H505">
        <v>31.126968999999999</v>
      </c>
      <c r="I505" s="7">
        <v>76.159898799999993</v>
      </c>
      <c r="J505">
        <v>0</v>
      </c>
      <c r="K505" s="5"/>
    </row>
    <row r="506" spans="1:14" x14ac:dyDescent="0.3">
      <c r="A506" t="s">
        <v>784</v>
      </c>
      <c r="B506" t="s">
        <v>35</v>
      </c>
      <c r="C506" t="s">
        <v>805</v>
      </c>
      <c r="D506" t="s">
        <v>542</v>
      </c>
      <c r="E506" t="s">
        <v>767</v>
      </c>
      <c r="F506" t="s">
        <v>767</v>
      </c>
      <c r="G506" t="s">
        <v>767</v>
      </c>
      <c r="H506">
        <v>31.321245300000001</v>
      </c>
      <c r="I506" s="7">
        <v>74.8416687</v>
      </c>
      <c r="J506">
        <v>0</v>
      </c>
      <c r="K506" s="5"/>
    </row>
    <row r="507" spans="1:14" x14ac:dyDescent="0.3">
      <c r="A507" t="s">
        <v>784</v>
      </c>
      <c r="B507" t="s">
        <v>36</v>
      </c>
      <c r="C507" t="s">
        <v>806</v>
      </c>
      <c r="D507" t="s">
        <v>543</v>
      </c>
      <c r="E507" t="s">
        <v>767</v>
      </c>
      <c r="F507" t="s">
        <v>767</v>
      </c>
      <c r="G507" t="s">
        <v>767</v>
      </c>
      <c r="H507">
        <v>26.45</v>
      </c>
      <c r="I507">
        <v>74.7</v>
      </c>
      <c r="J507" t="s">
        <v>1167</v>
      </c>
      <c r="K507" s="5" t="s">
        <v>952</v>
      </c>
      <c r="L507" t="s">
        <v>806</v>
      </c>
      <c r="M507">
        <f>IF(L507=C507,1,0)</f>
        <v>1</v>
      </c>
    </row>
    <row r="508" spans="1:14" x14ac:dyDescent="0.3">
      <c r="A508" t="s">
        <v>784</v>
      </c>
      <c r="B508" t="s">
        <v>36</v>
      </c>
      <c r="C508" t="s">
        <v>806</v>
      </c>
      <c r="D508" t="s">
        <v>544</v>
      </c>
      <c r="E508" t="s">
        <v>767</v>
      </c>
      <c r="F508" t="s">
        <v>767</v>
      </c>
      <c r="G508" t="s">
        <v>767</v>
      </c>
      <c r="H508">
        <v>27.57</v>
      </c>
      <c r="I508">
        <v>76.63</v>
      </c>
      <c r="J508" t="s">
        <v>1168</v>
      </c>
      <c r="K508" s="5" t="s">
        <v>953</v>
      </c>
      <c r="L508" t="s">
        <v>806</v>
      </c>
      <c r="M508">
        <f>IF(L508=C508,1,0)</f>
        <v>1</v>
      </c>
    </row>
    <row r="509" spans="1:14" x14ac:dyDescent="0.3">
      <c r="A509" t="s">
        <v>784</v>
      </c>
      <c r="B509" t="s">
        <v>36</v>
      </c>
      <c r="C509" t="s">
        <v>806</v>
      </c>
      <c r="D509" t="s">
        <v>545</v>
      </c>
      <c r="E509" t="s">
        <v>769</v>
      </c>
      <c r="F509" t="s">
        <v>769</v>
      </c>
      <c r="G509" t="s">
        <v>769</v>
      </c>
      <c r="H509">
        <v>23.5</v>
      </c>
      <c r="I509">
        <v>74.400000000000006</v>
      </c>
      <c r="J509">
        <v>0</v>
      </c>
      <c r="K509" s="5"/>
    </row>
    <row r="510" spans="1:14" x14ac:dyDescent="0.3">
      <c r="A510" t="s">
        <v>784</v>
      </c>
      <c r="B510" t="s">
        <v>36</v>
      </c>
      <c r="C510" t="s">
        <v>806</v>
      </c>
      <c r="D510" t="s">
        <v>546</v>
      </c>
      <c r="E510" t="s">
        <v>769</v>
      </c>
      <c r="F510" t="s">
        <v>769</v>
      </c>
      <c r="G510" t="s">
        <v>769</v>
      </c>
      <c r="H510">
        <v>25.08</v>
      </c>
      <c r="I510">
        <v>76.55</v>
      </c>
      <c r="J510">
        <v>0</v>
      </c>
      <c r="K510" s="5"/>
    </row>
    <row r="511" spans="1:14" x14ac:dyDescent="0.3">
      <c r="A511" t="s">
        <v>784</v>
      </c>
      <c r="B511" t="s">
        <v>36</v>
      </c>
      <c r="C511" t="s">
        <v>806</v>
      </c>
      <c r="D511" t="s">
        <v>547</v>
      </c>
      <c r="E511" t="s">
        <v>769</v>
      </c>
      <c r="F511" t="s">
        <v>769</v>
      </c>
      <c r="G511" t="s">
        <v>769</v>
      </c>
      <c r="H511">
        <v>25.75</v>
      </c>
      <c r="I511">
        <v>71.42</v>
      </c>
      <c r="J511" t="s">
        <v>1169</v>
      </c>
      <c r="K511" s="5" t="s">
        <v>954</v>
      </c>
      <c r="L511" t="s">
        <v>806</v>
      </c>
      <c r="M511">
        <f>IF(L511=C511,1,0)</f>
        <v>1</v>
      </c>
    </row>
    <row r="512" spans="1:14" x14ac:dyDescent="0.3">
      <c r="A512" t="s">
        <v>784</v>
      </c>
      <c r="B512" t="s">
        <v>36</v>
      </c>
      <c r="C512" t="s">
        <v>806</v>
      </c>
      <c r="D512" t="s">
        <v>548</v>
      </c>
      <c r="E512" t="s">
        <v>767</v>
      </c>
      <c r="F512" t="s">
        <v>767</v>
      </c>
      <c r="G512" t="s">
        <v>767</v>
      </c>
      <c r="H512">
        <v>27.25</v>
      </c>
      <c r="I512">
        <v>77.5</v>
      </c>
      <c r="J512">
        <v>0</v>
      </c>
      <c r="K512" s="5"/>
    </row>
    <row r="513" spans="1:13" x14ac:dyDescent="0.3">
      <c r="A513" t="s">
        <v>784</v>
      </c>
      <c r="B513" t="s">
        <v>36</v>
      </c>
      <c r="C513" t="s">
        <v>806</v>
      </c>
      <c r="D513" t="s">
        <v>549</v>
      </c>
      <c r="E513" t="s">
        <v>769</v>
      </c>
      <c r="F513" t="s">
        <v>769</v>
      </c>
      <c r="G513" t="s">
        <v>769</v>
      </c>
      <c r="H513">
        <v>25.35</v>
      </c>
      <c r="I513">
        <v>74.67</v>
      </c>
      <c r="J513" t="s">
        <v>1170</v>
      </c>
      <c r="K513" s="5" t="s">
        <v>955</v>
      </c>
      <c r="L513" t="s">
        <v>806</v>
      </c>
      <c r="M513">
        <f>IF(L513=C513,1,0)</f>
        <v>1</v>
      </c>
    </row>
    <row r="514" spans="1:13" x14ac:dyDescent="0.3">
      <c r="A514" t="s">
        <v>784</v>
      </c>
      <c r="B514" t="s">
        <v>36</v>
      </c>
      <c r="C514" t="s">
        <v>806</v>
      </c>
      <c r="D514" t="s">
        <v>550</v>
      </c>
      <c r="E514" t="s">
        <v>769</v>
      </c>
      <c r="F514" t="s">
        <v>769</v>
      </c>
      <c r="G514" t="s">
        <v>769</v>
      </c>
      <c r="H514">
        <v>28.02</v>
      </c>
      <c r="I514">
        <v>73.37</v>
      </c>
      <c r="J514" t="s">
        <v>1171</v>
      </c>
      <c r="K514" s="5" t="s">
        <v>956</v>
      </c>
      <c r="L514" t="s">
        <v>806</v>
      </c>
      <c r="M514">
        <f>IF(L514=C514,1,0)</f>
        <v>1</v>
      </c>
    </row>
    <row r="515" spans="1:13" x14ac:dyDescent="0.3">
      <c r="A515" t="s">
        <v>784</v>
      </c>
      <c r="B515" t="s">
        <v>36</v>
      </c>
      <c r="C515" t="s">
        <v>806</v>
      </c>
      <c r="D515" t="s">
        <v>551</v>
      </c>
      <c r="E515" t="s">
        <v>779</v>
      </c>
      <c r="F515" t="s">
        <v>769</v>
      </c>
      <c r="G515" t="s">
        <v>775</v>
      </c>
      <c r="H515">
        <v>25.45</v>
      </c>
      <c r="I515">
        <v>75.680000000000007</v>
      </c>
      <c r="J515" t="s">
        <v>1172</v>
      </c>
      <c r="K515" s="5" t="s">
        <v>957</v>
      </c>
      <c r="L515" t="s">
        <v>806</v>
      </c>
      <c r="M515">
        <f>IF(L515=C515,1,0)</f>
        <v>1</v>
      </c>
    </row>
    <row r="516" spans="1:13" x14ac:dyDescent="0.3">
      <c r="A516" t="s">
        <v>784</v>
      </c>
      <c r="B516" t="s">
        <v>36</v>
      </c>
      <c r="C516" t="s">
        <v>806</v>
      </c>
      <c r="D516" t="s">
        <v>552</v>
      </c>
      <c r="E516" t="s">
        <v>769</v>
      </c>
      <c r="F516" t="s">
        <v>769</v>
      </c>
      <c r="G516" t="s">
        <v>769</v>
      </c>
      <c r="H516">
        <v>24.9</v>
      </c>
      <c r="I516">
        <v>74.7</v>
      </c>
      <c r="J516" t="s">
        <v>1173</v>
      </c>
      <c r="K516" s="5" t="s">
        <v>958</v>
      </c>
      <c r="L516" t="s">
        <v>806</v>
      </c>
      <c r="M516">
        <f>IF(L516=C516,1,0)</f>
        <v>1</v>
      </c>
    </row>
    <row r="517" spans="1:13" x14ac:dyDescent="0.3">
      <c r="A517" t="s">
        <v>784</v>
      </c>
      <c r="B517" t="s">
        <v>36</v>
      </c>
      <c r="C517" t="s">
        <v>806</v>
      </c>
      <c r="D517" t="s">
        <v>553</v>
      </c>
      <c r="E517" t="s">
        <v>767</v>
      </c>
      <c r="F517" t="s">
        <v>767</v>
      </c>
      <c r="G517" t="s">
        <v>767</v>
      </c>
      <c r="H517">
        <v>28.32</v>
      </c>
      <c r="I517">
        <v>75.02</v>
      </c>
      <c r="J517" t="s">
        <v>1174</v>
      </c>
      <c r="K517" s="5" t="s">
        <v>959</v>
      </c>
      <c r="L517" t="s">
        <v>806</v>
      </c>
      <c r="M517">
        <f>IF(L517=C517,1,0)</f>
        <v>1</v>
      </c>
    </row>
    <row r="518" spans="1:13" x14ac:dyDescent="0.3">
      <c r="A518" t="s">
        <v>784</v>
      </c>
      <c r="B518" t="s">
        <v>36</v>
      </c>
      <c r="C518" t="s">
        <v>806</v>
      </c>
      <c r="D518" t="s">
        <v>554</v>
      </c>
      <c r="E518" t="s">
        <v>767</v>
      </c>
      <c r="F518" t="s">
        <v>767</v>
      </c>
      <c r="G518" t="s">
        <v>767</v>
      </c>
      <c r="H518">
        <v>26.87</v>
      </c>
      <c r="I518">
        <v>76.319999999999993</v>
      </c>
      <c r="J518">
        <v>0</v>
      </c>
      <c r="K518" s="5"/>
    </row>
    <row r="519" spans="1:13" x14ac:dyDescent="0.3">
      <c r="A519" t="s">
        <v>784</v>
      </c>
      <c r="B519" t="s">
        <v>36</v>
      </c>
      <c r="C519" t="s">
        <v>806</v>
      </c>
      <c r="D519" t="s">
        <v>555</v>
      </c>
      <c r="E519" t="s">
        <v>767</v>
      </c>
      <c r="F519" t="s">
        <v>767</v>
      </c>
      <c r="G519" t="s">
        <v>767</v>
      </c>
      <c r="H519">
        <v>26.7</v>
      </c>
      <c r="I519">
        <v>77.88</v>
      </c>
      <c r="J519" t="s">
        <v>1175</v>
      </c>
      <c r="K519" s="5" t="s">
        <v>960</v>
      </c>
      <c r="L519" t="s">
        <v>806</v>
      </c>
      <c r="M519">
        <f>IF(L519=C519,1,0)</f>
        <v>1</v>
      </c>
    </row>
    <row r="520" spans="1:13" x14ac:dyDescent="0.3">
      <c r="A520" t="s">
        <v>784</v>
      </c>
      <c r="B520" t="s">
        <v>36</v>
      </c>
      <c r="C520" t="s">
        <v>806</v>
      </c>
      <c r="D520" t="s">
        <v>556</v>
      </c>
      <c r="E520" t="s">
        <v>769</v>
      </c>
      <c r="F520" t="s">
        <v>769</v>
      </c>
      <c r="G520" t="s">
        <v>769</v>
      </c>
      <c r="H520">
        <v>23.83</v>
      </c>
      <c r="I520">
        <v>73.83</v>
      </c>
      <c r="J520">
        <v>0</v>
      </c>
      <c r="K520" s="5"/>
    </row>
    <row r="521" spans="1:13" x14ac:dyDescent="0.3">
      <c r="A521" t="s">
        <v>784</v>
      </c>
      <c r="B521" t="s">
        <v>36</v>
      </c>
      <c r="C521" t="s">
        <v>806</v>
      </c>
      <c r="D521" t="s">
        <v>557</v>
      </c>
      <c r="E521" t="s">
        <v>767</v>
      </c>
      <c r="F521" t="s">
        <v>767</v>
      </c>
      <c r="G521" t="s">
        <v>767</v>
      </c>
      <c r="H521">
        <v>29.58</v>
      </c>
      <c r="I521">
        <v>74.349999999999994</v>
      </c>
      <c r="J521">
        <v>0</v>
      </c>
      <c r="K521" s="5"/>
    </row>
    <row r="522" spans="1:13" x14ac:dyDescent="0.3">
      <c r="A522" t="s">
        <v>784</v>
      </c>
      <c r="B522" t="s">
        <v>36</v>
      </c>
      <c r="C522" t="s">
        <v>806</v>
      </c>
      <c r="D522" t="s">
        <v>558</v>
      </c>
      <c r="E522" t="s">
        <v>767</v>
      </c>
      <c r="F522" t="s">
        <v>767</v>
      </c>
      <c r="G522" t="s">
        <v>767</v>
      </c>
      <c r="H522">
        <v>26.92</v>
      </c>
      <c r="I522">
        <v>75.87</v>
      </c>
      <c r="J522" t="s">
        <v>1176</v>
      </c>
      <c r="K522" s="5" t="s">
        <v>961</v>
      </c>
      <c r="L522" t="s">
        <v>806</v>
      </c>
      <c r="M522">
        <f>IF(L522=C522,1,0)</f>
        <v>1</v>
      </c>
    </row>
    <row r="523" spans="1:13" x14ac:dyDescent="0.3">
      <c r="A523" t="s">
        <v>784</v>
      </c>
      <c r="B523" t="s">
        <v>36</v>
      </c>
      <c r="C523" t="s">
        <v>806</v>
      </c>
      <c r="D523" t="s">
        <v>559</v>
      </c>
      <c r="E523" t="s">
        <v>769</v>
      </c>
      <c r="F523" t="s">
        <v>769</v>
      </c>
      <c r="G523" t="s">
        <v>769</v>
      </c>
      <c r="H523">
        <v>26.92</v>
      </c>
      <c r="I523">
        <v>70.95</v>
      </c>
      <c r="J523" t="s">
        <v>1177</v>
      </c>
      <c r="K523" s="5" t="s">
        <v>962</v>
      </c>
      <c r="L523" t="s">
        <v>806</v>
      </c>
      <c r="M523">
        <f>IF(L523=C523,1,0)</f>
        <v>1</v>
      </c>
    </row>
    <row r="524" spans="1:13" x14ac:dyDescent="0.3">
      <c r="A524" t="s">
        <v>784</v>
      </c>
      <c r="B524" t="s">
        <v>36</v>
      </c>
      <c r="C524" t="s">
        <v>806</v>
      </c>
      <c r="D524" t="s">
        <v>560</v>
      </c>
      <c r="E524" t="s">
        <v>769</v>
      </c>
      <c r="F524" t="s">
        <v>769</v>
      </c>
      <c r="G524" t="s">
        <v>769</v>
      </c>
      <c r="H524">
        <v>25.37</v>
      </c>
      <c r="I524">
        <v>72.97</v>
      </c>
      <c r="J524">
        <v>0</v>
      </c>
      <c r="K524" s="5"/>
    </row>
    <row r="525" spans="1:13" x14ac:dyDescent="0.3">
      <c r="A525" t="s">
        <v>784</v>
      </c>
      <c r="B525" t="s">
        <v>36</v>
      </c>
      <c r="C525" t="s">
        <v>806</v>
      </c>
      <c r="D525" t="s">
        <v>561</v>
      </c>
      <c r="E525" t="s">
        <v>769</v>
      </c>
      <c r="F525" t="s">
        <v>769</v>
      </c>
      <c r="G525" t="s">
        <v>769</v>
      </c>
      <c r="H525">
        <v>24.6</v>
      </c>
      <c r="J525" t="s">
        <v>1178</v>
      </c>
      <c r="K525" s="5" t="s">
        <v>963</v>
      </c>
      <c r="L525" t="s">
        <v>806</v>
      </c>
      <c r="M525">
        <f>IF(L525=C525,1,0)</f>
        <v>1</v>
      </c>
    </row>
    <row r="526" spans="1:13" x14ac:dyDescent="0.3">
      <c r="A526" t="s">
        <v>784</v>
      </c>
      <c r="B526" t="s">
        <v>36</v>
      </c>
      <c r="C526" t="s">
        <v>806</v>
      </c>
      <c r="D526" t="s">
        <v>562</v>
      </c>
      <c r="E526" t="s">
        <v>767</v>
      </c>
      <c r="F526" t="s">
        <v>767</v>
      </c>
      <c r="G526" t="s">
        <v>767</v>
      </c>
      <c r="H526">
        <v>28.1</v>
      </c>
      <c r="I526">
        <v>75.33</v>
      </c>
      <c r="J526">
        <v>0</v>
      </c>
      <c r="K526" s="5"/>
    </row>
    <row r="527" spans="1:13" x14ac:dyDescent="0.3">
      <c r="A527" t="s">
        <v>784</v>
      </c>
      <c r="B527" t="s">
        <v>36</v>
      </c>
      <c r="C527" t="s">
        <v>806</v>
      </c>
      <c r="D527" t="s">
        <v>563</v>
      </c>
      <c r="E527" t="s">
        <v>769</v>
      </c>
      <c r="F527" t="s">
        <v>769</v>
      </c>
      <c r="G527" t="s">
        <v>769</v>
      </c>
      <c r="H527">
        <v>26.3</v>
      </c>
      <c r="I527">
        <v>73.069999999999993</v>
      </c>
      <c r="J527" t="s">
        <v>1179</v>
      </c>
      <c r="K527" s="5" t="s">
        <v>964</v>
      </c>
      <c r="L527" t="s">
        <v>806</v>
      </c>
      <c r="M527">
        <f>IF(L527=C527,1,0)</f>
        <v>1</v>
      </c>
    </row>
    <row r="528" spans="1:13" x14ac:dyDescent="0.3">
      <c r="A528" t="s">
        <v>784</v>
      </c>
      <c r="B528" t="s">
        <v>36</v>
      </c>
      <c r="C528" t="s">
        <v>806</v>
      </c>
      <c r="D528" t="s">
        <v>564</v>
      </c>
      <c r="E528" t="s">
        <v>767</v>
      </c>
      <c r="F528" t="s">
        <v>767</v>
      </c>
      <c r="G528" t="s">
        <v>767</v>
      </c>
      <c r="H528">
        <v>26.5</v>
      </c>
      <c r="I528">
        <v>77.069999999999993</v>
      </c>
      <c r="J528">
        <v>0</v>
      </c>
      <c r="K528" s="5"/>
    </row>
    <row r="529" spans="1:14" x14ac:dyDescent="0.3">
      <c r="A529" t="s">
        <v>784</v>
      </c>
      <c r="B529" t="s">
        <v>36</v>
      </c>
      <c r="C529" t="s">
        <v>806</v>
      </c>
      <c r="D529" t="s">
        <v>565</v>
      </c>
      <c r="E529" t="s">
        <v>769</v>
      </c>
      <c r="F529" t="s">
        <v>769</v>
      </c>
      <c r="G529" t="s">
        <v>769</v>
      </c>
      <c r="H529">
        <v>25.17</v>
      </c>
      <c r="I529">
        <v>75.87</v>
      </c>
      <c r="J529" t="s">
        <v>1066</v>
      </c>
      <c r="K529" s="5" t="s">
        <v>1027</v>
      </c>
      <c r="L529" t="s">
        <v>806</v>
      </c>
      <c r="M529">
        <v>0</v>
      </c>
      <c r="N529" t="s">
        <v>1028</v>
      </c>
    </row>
    <row r="530" spans="1:14" x14ac:dyDescent="0.3">
      <c r="A530" t="s">
        <v>784</v>
      </c>
      <c r="B530" t="s">
        <v>36</v>
      </c>
      <c r="C530" t="s">
        <v>806</v>
      </c>
      <c r="D530" t="s">
        <v>566</v>
      </c>
      <c r="E530" t="s">
        <v>779</v>
      </c>
      <c r="F530" t="s">
        <v>769</v>
      </c>
      <c r="G530" t="s">
        <v>775</v>
      </c>
      <c r="H530">
        <v>27</v>
      </c>
      <c r="I530">
        <v>73.67</v>
      </c>
      <c r="J530">
        <v>0</v>
      </c>
      <c r="K530" s="5"/>
    </row>
    <row r="531" spans="1:14" x14ac:dyDescent="0.3">
      <c r="A531" t="s">
        <v>784</v>
      </c>
      <c r="B531" t="s">
        <v>36</v>
      </c>
      <c r="C531" t="s">
        <v>806</v>
      </c>
      <c r="D531" t="s">
        <v>567</v>
      </c>
      <c r="E531" t="s">
        <v>769</v>
      </c>
      <c r="F531" t="s">
        <v>769</v>
      </c>
      <c r="G531" t="s">
        <v>769</v>
      </c>
      <c r="H531">
        <v>25.77</v>
      </c>
      <c r="I531">
        <v>73.42</v>
      </c>
      <c r="J531" t="s">
        <v>1180</v>
      </c>
      <c r="K531" s="5" t="s">
        <v>965</v>
      </c>
      <c r="L531" t="s">
        <v>811</v>
      </c>
      <c r="M531">
        <f>IF(L531=C531,1,0)</f>
        <v>0</v>
      </c>
      <c r="N531" t="s">
        <v>1023</v>
      </c>
    </row>
    <row r="532" spans="1:14" x14ac:dyDescent="0.3">
      <c r="A532" t="s">
        <v>784</v>
      </c>
      <c r="B532" t="s">
        <v>36</v>
      </c>
      <c r="C532" t="s">
        <v>806</v>
      </c>
      <c r="D532" t="s">
        <v>568</v>
      </c>
      <c r="E532" t="s">
        <v>769</v>
      </c>
      <c r="F532" t="s">
        <v>769</v>
      </c>
      <c r="G532" t="s">
        <v>769</v>
      </c>
      <c r="H532">
        <v>24.03</v>
      </c>
      <c r="J532">
        <v>0</v>
      </c>
      <c r="K532" s="5"/>
    </row>
    <row r="533" spans="1:14" x14ac:dyDescent="0.3">
      <c r="A533" t="s">
        <v>784</v>
      </c>
      <c r="B533" t="s">
        <v>36</v>
      </c>
      <c r="C533" t="s">
        <v>806</v>
      </c>
      <c r="D533" t="s">
        <v>569</v>
      </c>
      <c r="E533" t="s">
        <v>769</v>
      </c>
      <c r="F533" t="s">
        <v>769</v>
      </c>
      <c r="G533" t="s">
        <v>769</v>
      </c>
      <c r="H533">
        <v>25.07</v>
      </c>
      <c r="I533">
        <v>73.87</v>
      </c>
      <c r="J533">
        <v>0</v>
      </c>
      <c r="K533" s="5"/>
    </row>
    <row r="534" spans="1:14" x14ac:dyDescent="0.3">
      <c r="A534" t="s">
        <v>784</v>
      </c>
      <c r="B534" t="s">
        <v>36</v>
      </c>
      <c r="C534" t="s">
        <v>806</v>
      </c>
      <c r="D534" t="s">
        <v>570</v>
      </c>
      <c r="E534" t="s">
        <v>767</v>
      </c>
      <c r="F534" t="s">
        <v>767</v>
      </c>
      <c r="G534" t="s">
        <v>767</v>
      </c>
      <c r="H534">
        <v>25.97</v>
      </c>
      <c r="J534" t="s">
        <v>1181</v>
      </c>
      <c r="K534" s="5" t="s">
        <v>966</v>
      </c>
      <c r="L534" t="s">
        <v>806</v>
      </c>
      <c r="M534">
        <f>IF(L534=C534,1,0)</f>
        <v>1</v>
      </c>
    </row>
    <row r="535" spans="1:14" x14ac:dyDescent="0.3">
      <c r="A535" t="s">
        <v>784</v>
      </c>
      <c r="B535" t="s">
        <v>36</v>
      </c>
      <c r="C535" t="s">
        <v>806</v>
      </c>
      <c r="D535" t="s">
        <v>571</v>
      </c>
      <c r="E535" t="s">
        <v>767</v>
      </c>
      <c r="F535" t="s">
        <v>767</v>
      </c>
      <c r="G535" t="s">
        <v>767</v>
      </c>
      <c r="H535">
        <v>27.6</v>
      </c>
      <c r="I535">
        <v>75.25</v>
      </c>
      <c r="J535" t="s">
        <v>1182</v>
      </c>
      <c r="K535" s="5" t="s">
        <v>967</v>
      </c>
      <c r="L535" t="s">
        <v>806</v>
      </c>
      <c r="M535">
        <f>IF(L535=C535,1,0)</f>
        <v>1</v>
      </c>
    </row>
    <row r="536" spans="1:14" x14ac:dyDescent="0.3">
      <c r="A536" t="s">
        <v>784</v>
      </c>
      <c r="B536" t="s">
        <v>36</v>
      </c>
      <c r="C536" t="s">
        <v>806</v>
      </c>
      <c r="D536" t="s">
        <v>572</v>
      </c>
      <c r="E536" t="s">
        <v>766</v>
      </c>
      <c r="F536" t="s">
        <v>766</v>
      </c>
      <c r="G536" t="s">
        <v>766</v>
      </c>
      <c r="H536">
        <v>24.87</v>
      </c>
      <c r="I536">
        <v>72.87</v>
      </c>
      <c r="J536">
        <v>0</v>
      </c>
      <c r="K536" s="5"/>
    </row>
    <row r="537" spans="1:14" x14ac:dyDescent="0.3">
      <c r="A537" t="s">
        <v>784</v>
      </c>
      <c r="B537" t="s">
        <v>36</v>
      </c>
      <c r="C537" t="s">
        <v>806</v>
      </c>
      <c r="D537" t="s">
        <v>573</v>
      </c>
      <c r="E537" t="s">
        <v>767</v>
      </c>
      <c r="F537" t="s">
        <v>767</v>
      </c>
      <c r="G537" t="s">
        <v>767</v>
      </c>
      <c r="H537">
        <v>29.82</v>
      </c>
      <c r="I537">
        <v>73.83</v>
      </c>
      <c r="J537">
        <v>0</v>
      </c>
      <c r="K537" s="5"/>
    </row>
    <row r="538" spans="1:14" x14ac:dyDescent="0.3">
      <c r="A538" t="s">
        <v>784</v>
      </c>
      <c r="B538" t="s">
        <v>36</v>
      </c>
      <c r="C538" t="s">
        <v>806</v>
      </c>
      <c r="D538" t="s">
        <v>574</v>
      </c>
      <c r="E538" t="s">
        <v>767</v>
      </c>
      <c r="F538" t="s">
        <v>767</v>
      </c>
      <c r="G538" t="s">
        <v>767</v>
      </c>
      <c r="H538">
        <v>26.18</v>
      </c>
      <c r="I538">
        <v>75.83</v>
      </c>
      <c r="J538" t="s">
        <v>1183</v>
      </c>
      <c r="K538" s="5" t="s">
        <v>968</v>
      </c>
      <c r="L538" t="s">
        <v>806</v>
      </c>
      <c r="M538">
        <f>IF(L538=C538,1,0)</f>
        <v>1</v>
      </c>
    </row>
    <row r="539" spans="1:14" x14ac:dyDescent="0.3">
      <c r="A539" t="s">
        <v>784</v>
      </c>
      <c r="B539" t="s">
        <v>36</v>
      </c>
      <c r="C539" t="s">
        <v>806</v>
      </c>
      <c r="D539" t="s">
        <v>575</v>
      </c>
      <c r="E539" t="s">
        <v>767</v>
      </c>
      <c r="F539" t="s">
        <v>767</v>
      </c>
      <c r="G539" t="s">
        <v>767</v>
      </c>
      <c r="H539">
        <v>27.7</v>
      </c>
      <c r="I539">
        <v>75.55</v>
      </c>
      <c r="J539" t="s">
        <v>1184</v>
      </c>
      <c r="K539" s="5" t="s">
        <v>969</v>
      </c>
      <c r="L539" t="s">
        <v>806</v>
      </c>
      <c r="M539">
        <f>IF(L539=C539,1,0)</f>
        <v>1</v>
      </c>
    </row>
    <row r="540" spans="1:14" x14ac:dyDescent="0.3">
      <c r="A540" t="s">
        <v>784</v>
      </c>
      <c r="B540" t="s">
        <v>37</v>
      </c>
      <c r="C540" t="s">
        <v>807</v>
      </c>
      <c r="D540" t="s">
        <v>576</v>
      </c>
      <c r="E540" t="s">
        <v>766</v>
      </c>
      <c r="F540" t="s">
        <v>766</v>
      </c>
      <c r="G540" t="s">
        <v>766</v>
      </c>
      <c r="H540">
        <v>27.316364400000001</v>
      </c>
      <c r="I540" s="7">
        <v>88.597582900000006</v>
      </c>
      <c r="J540">
        <v>0</v>
      </c>
      <c r="K540" s="5"/>
    </row>
    <row r="541" spans="1:14" x14ac:dyDescent="0.3">
      <c r="A541" t="s">
        <v>784</v>
      </c>
      <c r="B541" t="s">
        <v>37</v>
      </c>
      <c r="C541" t="s">
        <v>807</v>
      </c>
      <c r="D541" t="s">
        <v>577</v>
      </c>
      <c r="E541" t="s">
        <v>766</v>
      </c>
      <c r="F541" t="s">
        <v>766</v>
      </c>
      <c r="G541" t="s">
        <v>766</v>
      </c>
      <c r="H541">
        <v>27.417135600000002</v>
      </c>
      <c r="I541" s="7">
        <v>88.622517400000007</v>
      </c>
      <c r="J541">
        <v>0</v>
      </c>
      <c r="K541" s="5"/>
    </row>
    <row r="542" spans="1:14" x14ac:dyDescent="0.3">
      <c r="A542" t="s">
        <v>784</v>
      </c>
      <c r="B542" t="s">
        <v>37</v>
      </c>
      <c r="C542" t="s">
        <v>807</v>
      </c>
      <c r="D542" t="s">
        <v>578</v>
      </c>
      <c r="E542" t="s">
        <v>766</v>
      </c>
      <c r="F542" t="s">
        <v>766</v>
      </c>
      <c r="G542" t="s">
        <v>766</v>
      </c>
      <c r="H542">
        <v>27.329701199999999</v>
      </c>
      <c r="I542" s="7">
        <v>88.611647199999993</v>
      </c>
      <c r="J542">
        <v>0</v>
      </c>
      <c r="K542" s="5"/>
    </row>
    <row r="543" spans="1:14" x14ac:dyDescent="0.3">
      <c r="A543" t="s">
        <v>784</v>
      </c>
      <c r="B543" t="s">
        <v>37</v>
      </c>
      <c r="C543" t="s">
        <v>807</v>
      </c>
      <c r="D543" t="s">
        <v>579</v>
      </c>
      <c r="E543" t="s">
        <v>766</v>
      </c>
      <c r="F543" t="s">
        <v>766</v>
      </c>
      <c r="G543" t="s">
        <v>766</v>
      </c>
      <c r="H543">
        <v>27.1638205</v>
      </c>
      <c r="I543" s="7">
        <v>88.2943341</v>
      </c>
      <c r="J543">
        <v>0</v>
      </c>
      <c r="K543" s="5"/>
    </row>
    <row r="544" spans="1:14" x14ac:dyDescent="0.3">
      <c r="A544" t="s">
        <v>784</v>
      </c>
      <c r="B544" t="s">
        <v>38</v>
      </c>
      <c r="C544" t="s">
        <v>808</v>
      </c>
      <c r="D544" t="s">
        <v>580</v>
      </c>
      <c r="E544" t="s">
        <v>764</v>
      </c>
      <c r="F544" t="s">
        <v>764</v>
      </c>
      <c r="G544" t="s">
        <v>764</v>
      </c>
      <c r="H544">
        <v>11.1530559</v>
      </c>
      <c r="I544" s="7">
        <v>79.258579699999999</v>
      </c>
      <c r="J544" t="s">
        <v>1185</v>
      </c>
      <c r="K544" s="5" t="s">
        <v>970</v>
      </c>
      <c r="L544" t="s">
        <v>808</v>
      </c>
      <c r="M544">
        <f>IF(L544=C544,1,0)</f>
        <v>1</v>
      </c>
    </row>
    <row r="545" spans="1:13" x14ac:dyDescent="0.3">
      <c r="A545" t="s">
        <v>784</v>
      </c>
      <c r="B545" t="s">
        <v>38</v>
      </c>
      <c r="C545" t="s">
        <v>808</v>
      </c>
      <c r="D545" t="s">
        <v>581</v>
      </c>
      <c r="E545" t="s">
        <v>764</v>
      </c>
      <c r="F545" t="s">
        <v>764</v>
      </c>
      <c r="G545" t="s">
        <v>764</v>
      </c>
      <c r="H545">
        <v>12.684088600000001</v>
      </c>
      <c r="I545" s="7">
        <v>79.983637099999996</v>
      </c>
      <c r="J545">
        <v>0</v>
      </c>
      <c r="K545" s="5"/>
    </row>
    <row r="546" spans="1:13" x14ac:dyDescent="0.3">
      <c r="A546" t="s">
        <v>784</v>
      </c>
      <c r="B546" t="s">
        <v>38</v>
      </c>
      <c r="C546" t="s">
        <v>808</v>
      </c>
      <c r="D546" t="s">
        <v>582</v>
      </c>
      <c r="E546" t="s">
        <v>764</v>
      </c>
      <c r="F546" t="s">
        <v>764</v>
      </c>
      <c r="G546" t="s">
        <v>764</v>
      </c>
      <c r="H546">
        <v>13.0836939</v>
      </c>
      <c r="I546" s="7">
        <v>80.270185999999995</v>
      </c>
      <c r="J546" t="s">
        <v>1186</v>
      </c>
      <c r="K546" s="5" t="s">
        <v>971</v>
      </c>
      <c r="L546" t="s">
        <v>808</v>
      </c>
      <c r="M546">
        <f>IF(L546=C546,1,0)</f>
        <v>1</v>
      </c>
    </row>
    <row r="547" spans="1:13" x14ac:dyDescent="0.3">
      <c r="A547" t="s">
        <v>784</v>
      </c>
      <c r="B547" t="s">
        <v>38</v>
      </c>
      <c r="C547" t="s">
        <v>808</v>
      </c>
      <c r="D547" t="s">
        <v>583</v>
      </c>
      <c r="E547" t="s">
        <v>764</v>
      </c>
      <c r="F547" t="s">
        <v>764</v>
      </c>
      <c r="G547" t="s">
        <v>764</v>
      </c>
      <c r="H547">
        <v>11.001811500000001</v>
      </c>
      <c r="I547" s="7">
        <v>76.962842499999994</v>
      </c>
      <c r="J547" t="s">
        <v>1187</v>
      </c>
      <c r="K547" s="5" t="s">
        <v>972</v>
      </c>
      <c r="L547" t="s">
        <v>808</v>
      </c>
      <c r="M547">
        <f>IF(L547=C547,1,0)</f>
        <v>1</v>
      </c>
    </row>
    <row r="548" spans="1:13" x14ac:dyDescent="0.3">
      <c r="A548" t="s">
        <v>784</v>
      </c>
      <c r="B548" t="s">
        <v>38</v>
      </c>
      <c r="C548" t="s">
        <v>808</v>
      </c>
      <c r="D548" t="s">
        <v>584</v>
      </c>
      <c r="E548" t="s">
        <v>764</v>
      </c>
      <c r="F548" t="s">
        <v>764</v>
      </c>
      <c r="G548" t="s">
        <v>764</v>
      </c>
      <c r="H548">
        <v>11.5202071</v>
      </c>
      <c r="I548" s="7">
        <v>79.339635599999994</v>
      </c>
      <c r="J548" t="s">
        <v>1188</v>
      </c>
      <c r="K548" s="5" t="s">
        <v>973</v>
      </c>
      <c r="L548" t="s">
        <v>808</v>
      </c>
      <c r="M548">
        <f>IF(L548=C548,1,0)</f>
        <v>1</v>
      </c>
    </row>
    <row r="549" spans="1:13" x14ac:dyDescent="0.3">
      <c r="A549" t="s">
        <v>784</v>
      </c>
      <c r="B549" t="s">
        <v>38</v>
      </c>
      <c r="C549" t="s">
        <v>808</v>
      </c>
      <c r="D549" t="s">
        <v>585</v>
      </c>
      <c r="E549" t="s">
        <v>764</v>
      </c>
      <c r="F549" t="s">
        <v>764</v>
      </c>
      <c r="G549" t="s">
        <v>764</v>
      </c>
      <c r="H549">
        <v>12.1456131</v>
      </c>
      <c r="I549" s="7">
        <v>78.113221699999997</v>
      </c>
      <c r="J549" t="s">
        <v>1189</v>
      </c>
      <c r="K549" s="5" t="s">
        <v>974</v>
      </c>
      <c r="L549" t="s">
        <v>808</v>
      </c>
      <c r="M549">
        <f>IF(L549=C549,1,0)</f>
        <v>1</v>
      </c>
    </row>
    <row r="550" spans="1:13" x14ac:dyDescent="0.3">
      <c r="A550" t="s">
        <v>784</v>
      </c>
      <c r="B550" t="s">
        <v>38</v>
      </c>
      <c r="C550" t="s">
        <v>808</v>
      </c>
      <c r="D550" t="s">
        <v>586</v>
      </c>
      <c r="E550" t="s">
        <v>766</v>
      </c>
      <c r="F550" t="s">
        <v>766</v>
      </c>
      <c r="G550" t="s">
        <v>766</v>
      </c>
      <c r="H550">
        <v>10.4256897</v>
      </c>
      <c r="I550" s="7">
        <v>77.815663999999998</v>
      </c>
      <c r="J550">
        <v>0</v>
      </c>
      <c r="K550" s="5"/>
    </row>
    <row r="551" spans="1:13" x14ac:dyDescent="0.3">
      <c r="A551" t="s">
        <v>784</v>
      </c>
      <c r="B551" t="s">
        <v>38</v>
      </c>
      <c r="C551" t="s">
        <v>808</v>
      </c>
      <c r="D551" t="s">
        <v>587</v>
      </c>
      <c r="E551" t="s">
        <v>764</v>
      </c>
      <c r="F551" t="s">
        <v>764</v>
      </c>
      <c r="G551" t="s">
        <v>764</v>
      </c>
      <c r="H551">
        <v>11.4905282</v>
      </c>
      <c r="I551" s="7">
        <v>77.350527400000004</v>
      </c>
      <c r="J551">
        <v>0</v>
      </c>
      <c r="K551" s="5"/>
    </row>
    <row r="552" spans="1:13" x14ac:dyDescent="0.3">
      <c r="A552" t="s">
        <v>784</v>
      </c>
      <c r="B552" t="s">
        <v>38</v>
      </c>
      <c r="C552" t="s">
        <v>808</v>
      </c>
      <c r="D552" t="s">
        <v>588</v>
      </c>
      <c r="E552" t="s">
        <v>764</v>
      </c>
      <c r="F552" t="s">
        <v>764</v>
      </c>
      <c r="G552" t="s">
        <v>764</v>
      </c>
      <c r="H552">
        <v>11.794684699999999</v>
      </c>
      <c r="I552" s="7">
        <v>79.038821100000007</v>
      </c>
      <c r="J552">
        <v>0</v>
      </c>
      <c r="K552" s="5"/>
    </row>
    <row r="553" spans="1:13" x14ac:dyDescent="0.3">
      <c r="A553" t="s">
        <v>784</v>
      </c>
      <c r="B553" t="s">
        <v>38</v>
      </c>
      <c r="C553" t="s">
        <v>808</v>
      </c>
      <c r="D553" t="s">
        <v>589</v>
      </c>
      <c r="E553" t="s">
        <v>764</v>
      </c>
      <c r="F553" t="s">
        <v>764</v>
      </c>
      <c r="G553" t="s">
        <v>764</v>
      </c>
      <c r="H553">
        <v>12.964716299999999</v>
      </c>
      <c r="I553" s="7">
        <v>79.983968599999997</v>
      </c>
      <c r="J553">
        <v>0</v>
      </c>
      <c r="K553" s="5"/>
    </row>
    <row r="554" spans="1:13" x14ac:dyDescent="0.3">
      <c r="A554" t="s">
        <v>784</v>
      </c>
      <c r="B554" t="s">
        <v>38</v>
      </c>
      <c r="C554" t="s">
        <v>808</v>
      </c>
      <c r="D554" t="s">
        <v>590</v>
      </c>
      <c r="E554" t="s">
        <v>764</v>
      </c>
      <c r="F554" t="s">
        <v>764</v>
      </c>
      <c r="G554" t="s">
        <v>764</v>
      </c>
      <c r="H554">
        <v>8.0792520000000003</v>
      </c>
      <c r="I554" s="7">
        <v>77.549933800000005</v>
      </c>
      <c r="J554">
        <v>0</v>
      </c>
      <c r="K554" s="5"/>
    </row>
    <row r="555" spans="1:13" x14ac:dyDescent="0.3">
      <c r="A555" t="s">
        <v>784</v>
      </c>
      <c r="B555" t="s">
        <v>38</v>
      </c>
      <c r="C555" t="s">
        <v>808</v>
      </c>
      <c r="D555" t="s">
        <v>591</v>
      </c>
      <c r="E555" t="s">
        <v>764</v>
      </c>
      <c r="F555" t="s">
        <v>764</v>
      </c>
      <c r="G555" t="s">
        <v>764</v>
      </c>
      <c r="H555">
        <v>10.821767100000001</v>
      </c>
      <c r="I555" s="7">
        <v>78.3828654</v>
      </c>
      <c r="J555" t="s">
        <v>1190</v>
      </c>
      <c r="K555" s="5" t="s">
        <v>975</v>
      </c>
      <c r="L555" t="s">
        <v>808</v>
      </c>
      <c r="M555">
        <f>IF(L555=C555,1,0)</f>
        <v>1</v>
      </c>
    </row>
    <row r="556" spans="1:13" x14ac:dyDescent="0.3">
      <c r="A556" t="s">
        <v>784</v>
      </c>
      <c r="B556" t="s">
        <v>38</v>
      </c>
      <c r="C556" t="s">
        <v>808</v>
      </c>
      <c r="D556" t="s">
        <v>592</v>
      </c>
      <c r="E556" t="s">
        <v>764</v>
      </c>
      <c r="F556" t="s">
        <v>764</v>
      </c>
      <c r="G556" t="s">
        <v>764</v>
      </c>
      <c r="H556">
        <v>12.515207500000001</v>
      </c>
      <c r="I556" s="7">
        <v>78.009376900000007</v>
      </c>
      <c r="J556">
        <v>0</v>
      </c>
      <c r="K556" s="5"/>
    </row>
    <row r="557" spans="1:13" x14ac:dyDescent="0.3">
      <c r="A557" t="s">
        <v>784</v>
      </c>
      <c r="B557" t="s">
        <v>38</v>
      </c>
      <c r="C557" t="s">
        <v>808</v>
      </c>
      <c r="D557" t="s">
        <v>593</v>
      </c>
      <c r="E557" t="s">
        <v>764</v>
      </c>
      <c r="F557" t="s">
        <v>764</v>
      </c>
      <c r="G557" t="s">
        <v>764</v>
      </c>
      <c r="H557">
        <v>9.9261152999999993</v>
      </c>
      <c r="I557" s="7">
        <v>78.114098299999995</v>
      </c>
      <c r="J557" t="s">
        <v>1191</v>
      </c>
      <c r="K557" s="5" t="s">
        <v>976</v>
      </c>
      <c r="L557" t="s">
        <v>808</v>
      </c>
      <c r="M557">
        <f>IF(L557=C557,1,0)</f>
        <v>1</v>
      </c>
    </row>
    <row r="558" spans="1:13" x14ac:dyDescent="0.3">
      <c r="A558" t="s">
        <v>784</v>
      </c>
      <c r="B558" t="s">
        <v>38</v>
      </c>
      <c r="C558" t="s">
        <v>808</v>
      </c>
      <c r="D558" t="s">
        <v>594</v>
      </c>
      <c r="E558" t="s">
        <v>764</v>
      </c>
      <c r="F558" t="s">
        <v>764</v>
      </c>
      <c r="G558" t="s">
        <v>764</v>
      </c>
      <c r="H558">
        <v>10.6026203</v>
      </c>
      <c r="I558" s="7">
        <v>79.761934800000006</v>
      </c>
      <c r="J558">
        <v>0</v>
      </c>
      <c r="K558" s="5"/>
    </row>
    <row r="559" spans="1:13" x14ac:dyDescent="0.3">
      <c r="A559" t="s">
        <v>784</v>
      </c>
      <c r="B559" t="s">
        <v>38</v>
      </c>
      <c r="C559" t="s">
        <v>808</v>
      </c>
      <c r="D559" t="s">
        <v>595</v>
      </c>
      <c r="E559" t="s">
        <v>764</v>
      </c>
      <c r="F559" t="s">
        <v>764</v>
      </c>
      <c r="G559" t="s">
        <v>764</v>
      </c>
      <c r="H559">
        <v>11.3033889</v>
      </c>
      <c r="I559" s="7">
        <v>78.118604000000005</v>
      </c>
      <c r="J559">
        <v>0</v>
      </c>
      <c r="K559" s="5"/>
    </row>
    <row r="560" spans="1:13" x14ac:dyDescent="0.3">
      <c r="A560" t="s">
        <v>784</v>
      </c>
      <c r="B560" t="s">
        <v>38</v>
      </c>
      <c r="C560" t="s">
        <v>808</v>
      </c>
      <c r="D560" t="s">
        <v>596</v>
      </c>
      <c r="E560" t="s">
        <v>766</v>
      </c>
      <c r="F560" t="s">
        <v>766</v>
      </c>
      <c r="G560" t="s">
        <v>766</v>
      </c>
      <c r="H560">
        <v>11.4449997</v>
      </c>
      <c r="I560" s="7">
        <v>76.697519999999997</v>
      </c>
      <c r="J560">
        <v>0</v>
      </c>
      <c r="K560" s="5"/>
    </row>
    <row r="561" spans="1:13" x14ac:dyDescent="0.3">
      <c r="A561" t="s">
        <v>784</v>
      </c>
      <c r="B561" t="s">
        <v>38</v>
      </c>
      <c r="C561" t="s">
        <v>808</v>
      </c>
      <c r="D561" t="s">
        <v>597</v>
      </c>
      <c r="E561" t="s">
        <v>764</v>
      </c>
      <c r="F561" t="s">
        <v>764</v>
      </c>
      <c r="G561" t="s">
        <v>764</v>
      </c>
      <c r="H561">
        <v>11.2902641</v>
      </c>
      <c r="I561" s="7">
        <v>78.930040399999996</v>
      </c>
      <c r="J561">
        <v>0</v>
      </c>
      <c r="K561" s="5"/>
    </row>
    <row r="562" spans="1:13" x14ac:dyDescent="0.3">
      <c r="A562" t="s">
        <v>784</v>
      </c>
      <c r="B562" t="s">
        <v>38</v>
      </c>
      <c r="C562" t="s">
        <v>808</v>
      </c>
      <c r="D562" t="s">
        <v>598</v>
      </c>
      <c r="E562" t="s">
        <v>764</v>
      </c>
      <c r="F562" t="s">
        <v>764</v>
      </c>
      <c r="G562" t="s">
        <v>764</v>
      </c>
      <c r="H562">
        <v>10.290307200000001</v>
      </c>
      <c r="I562" s="7">
        <v>78.817361700000006</v>
      </c>
      <c r="J562">
        <v>0</v>
      </c>
      <c r="K562" s="5"/>
    </row>
    <row r="563" spans="1:13" x14ac:dyDescent="0.3">
      <c r="A563" t="s">
        <v>784</v>
      </c>
      <c r="B563" t="s">
        <v>38</v>
      </c>
      <c r="C563" t="s">
        <v>808</v>
      </c>
      <c r="D563" t="s">
        <v>599</v>
      </c>
      <c r="E563" t="s">
        <v>764</v>
      </c>
      <c r="F563" t="s">
        <v>764</v>
      </c>
      <c r="G563" t="s">
        <v>764</v>
      </c>
      <c r="H563">
        <v>9.5205576000000001</v>
      </c>
      <c r="I563" s="7">
        <v>78.518463499999996</v>
      </c>
      <c r="J563">
        <v>0</v>
      </c>
      <c r="K563" s="5"/>
    </row>
    <row r="564" spans="1:13" x14ac:dyDescent="0.3">
      <c r="A564" t="s">
        <v>784</v>
      </c>
      <c r="B564" t="s">
        <v>38</v>
      </c>
      <c r="C564" t="s">
        <v>808</v>
      </c>
      <c r="D564" t="s">
        <v>600</v>
      </c>
      <c r="E564" t="s">
        <v>764</v>
      </c>
      <c r="F564" t="s">
        <v>764</v>
      </c>
      <c r="G564" t="s">
        <v>764</v>
      </c>
      <c r="H564">
        <v>11.646961599999999</v>
      </c>
      <c r="I564" s="7">
        <v>78.210695799999996</v>
      </c>
      <c r="J564" t="s">
        <v>1192</v>
      </c>
      <c r="K564" s="5" t="s">
        <v>977</v>
      </c>
      <c r="L564" t="s">
        <v>808</v>
      </c>
      <c r="M564">
        <f>IF(L564=C564,1,0)</f>
        <v>1</v>
      </c>
    </row>
    <row r="565" spans="1:13" x14ac:dyDescent="0.3">
      <c r="A565" t="s">
        <v>784</v>
      </c>
      <c r="B565" t="s">
        <v>38</v>
      </c>
      <c r="C565" t="s">
        <v>808</v>
      </c>
      <c r="D565" t="s">
        <v>601</v>
      </c>
      <c r="E565" t="s">
        <v>764</v>
      </c>
      <c r="F565" t="s">
        <v>764</v>
      </c>
      <c r="G565" t="s">
        <v>764</v>
      </c>
      <c r="H565">
        <v>9.8486881000000004</v>
      </c>
      <c r="I565" s="7">
        <v>78.487046100000001</v>
      </c>
      <c r="J565">
        <v>0</v>
      </c>
      <c r="K565" s="5"/>
    </row>
    <row r="566" spans="1:13" x14ac:dyDescent="0.3">
      <c r="A566" t="s">
        <v>784</v>
      </c>
      <c r="B566" t="s">
        <v>38</v>
      </c>
      <c r="C566" t="s">
        <v>808</v>
      </c>
      <c r="D566" t="s">
        <v>602</v>
      </c>
      <c r="E566" t="s">
        <v>764</v>
      </c>
      <c r="F566" t="s">
        <v>764</v>
      </c>
      <c r="G566" t="s">
        <v>764</v>
      </c>
      <c r="H566">
        <v>9.0933907999999999</v>
      </c>
      <c r="I566" s="7">
        <v>77.475837299999995</v>
      </c>
      <c r="J566">
        <v>0</v>
      </c>
      <c r="K566" s="5"/>
    </row>
    <row r="567" spans="1:13" x14ac:dyDescent="0.3">
      <c r="A567" t="s">
        <v>784</v>
      </c>
      <c r="B567" t="s">
        <v>38</v>
      </c>
      <c r="C567" t="s">
        <v>808</v>
      </c>
      <c r="D567" t="s">
        <v>603</v>
      </c>
      <c r="E567" t="s">
        <v>764</v>
      </c>
      <c r="F567" t="s">
        <v>764</v>
      </c>
      <c r="G567" t="s">
        <v>764</v>
      </c>
      <c r="H567">
        <v>10.659037</v>
      </c>
      <c r="I567" s="7">
        <v>79.201427800000005</v>
      </c>
      <c r="J567" t="s">
        <v>1193</v>
      </c>
      <c r="K567" s="5" t="s">
        <v>978</v>
      </c>
      <c r="L567" t="s">
        <v>808</v>
      </c>
      <c r="M567">
        <f>IF(L567=C567,1,0)</f>
        <v>1</v>
      </c>
    </row>
    <row r="568" spans="1:13" x14ac:dyDescent="0.3">
      <c r="A568" t="s">
        <v>784</v>
      </c>
      <c r="B568" t="s">
        <v>38</v>
      </c>
      <c r="C568" t="s">
        <v>808</v>
      </c>
      <c r="D568" t="s">
        <v>604</v>
      </c>
      <c r="E568" t="s">
        <v>764</v>
      </c>
      <c r="F568" t="s">
        <v>764</v>
      </c>
      <c r="G568" t="s">
        <v>764</v>
      </c>
      <c r="H568">
        <v>9.8692557999999995</v>
      </c>
      <c r="I568" s="7">
        <v>77.422297400000005</v>
      </c>
      <c r="J568">
        <v>0</v>
      </c>
      <c r="K568" s="5"/>
    </row>
    <row r="569" spans="1:13" x14ac:dyDescent="0.3">
      <c r="A569" t="s">
        <v>784</v>
      </c>
      <c r="B569" t="s">
        <v>38</v>
      </c>
      <c r="C569" t="s">
        <v>808</v>
      </c>
      <c r="D569" t="s">
        <v>605</v>
      </c>
      <c r="E569" t="s">
        <v>764</v>
      </c>
      <c r="F569" t="s">
        <v>764</v>
      </c>
      <c r="G569" t="s">
        <v>764</v>
      </c>
      <c r="H569">
        <v>8.8457035000000008</v>
      </c>
      <c r="I569" s="7">
        <v>77.993817800000002</v>
      </c>
      <c r="J569">
        <v>0</v>
      </c>
      <c r="K569" s="5"/>
    </row>
    <row r="570" spans="1:13" x14ac:dyDescent="0.3">
      <c r="A570" t="s">
        <v>784</v>
      </c>
      <c r="B570" t="s">
        <v>38</v>
      </c>
      <c r="C570" t="s">
        <v>808</v>
      </c>
      <c r="D570" t="s">
        <v>606</v>
      </c>
      <c r="E570" t="s">
        <v>764</v>
      </c>
      <c r="F570" t="s">
        <v>764</v>
      </c>
      <c r="G570" t="s">
        <v>764</v>
      </c>
      <c r="H570">
        <v>10.8071144</v>
      </c>
      <c r="I570" s="7">
        <v>78.688093899999998</v>
      </c>
      <c r="J570" t="s">
        <v>1194</v>
      </c>
      <c r="K570" s="5" t="s">
        <v>979</v>
      </c>
      <c r="L570" t="s">
        <v>808</v>
      </c>
      <c r="M570">
        <f>IF(L570=C570,1,0)</f>
        <v>1</v>
      </c>
    </row>
    <row r="571" spans="1:13" x14ac:dyDescent="0.3">
      <c r="A571" t="s">
        <v>784</v>
      </c>
      <c r="B571" t="s">
        <v>38</v>
      </c>
      <c r="C571" t="s">
        <v>808</v>
      </c>
      <c r="D571" t="s">
        <v>607</v>
      </c>
      <c r="E571" t="s">
        <v>764</v>
      </c>
      <c r="F571" t="s">
        <v>764</v>
      </c>
      <c r="G571" t="s">
        <v>764</v>
      </c>
      <c r="H571">
        <v>8.5495014000000005</v>
      </c>
      <c r="I571" s="7">
        <v>77.580517799999996</v>
      </c>
      <c r="J571">
        <v>0</v>
      </c>
      <c r="K571" s="5"/>
    </row>
    <row r="572" spans="1:13" x14ac:dyDescent="0.3">
      <c r="A572" t="s">
        <v>784</v>
      </c>
      <c r="B572" t="s">
        <v>38</v>
      </c>
      <c r="C572" t="s">
        <v>808</v>
      </c>
      <c r="D572" t="s">
        <v>608</v>
      </c>
      <c r="E572" t="s">
        <v>764</v>
      </c>
      <c r="F572" t="s">
        <v>764</v>
      </c>
      <c r="G572" t="s">
        <v>764</v>
      </c>
      <c r="H572">
        <v>10.7915267</v>
      </c>
      <c r="I572" s="7">
        <v>77.532546600000003</v>
      </c>
      <c r="J572">
        <v>0</v>
      </c>
      <c r="K572" s="5"/>
    </row>
    <row r="573" spans="1:13" x14ac:dyDescent="0.3">
      <c r="A573" t="s">
        <v>784</v>
      </c>
      <c r="B573" t="s">
        <v>38</v>
      </c>
      <c r="C573" t="s">
        <v>808</v>
      </c>
      <c r="D573" t="s">
        <v>609</v>
      </c>
      <c r="E573" t="s">
        <v>764</v>
      </c>
      <c r="F573" t="s">
        <v>764</v>
      </c>
      <c r="G573" t="s">
        <v>764</v>
      </c>
      <c r="H573">
        <v>13.139422100000001</v>
      </c>
      <c r="I573" s="7">
        <v>79.907083900000003</v>
      </c>
      <c r="J573">
        <v>0</v>
      </c>
      <c r="K573" s="5"/>
    </row>
    <row r="574" spans="1:13" x14ac:dyDescent="0.3">
      <c r="A574" t="s">
        <v>784</v>
      </c>
      <c r="B574" t="s">
        <v>38</v>
      </c>
      <c r="C574" t="s">
        <v>808</v>
      </c>
      <c r="D574" t="s">
        <v>610</v>
      </c>
      <c r="E574" t="s">
        <v>764</v>
      </c>
      <c r="F574" t="s">
        <v>764</v>
      </c>
      <c r="G574" t="s">
        <v>764</v>
      </c>
      <c r="H574">
        <v>12.4289282</v>
      </c>
      <c r="I574" s="7">
        <v>78.99915</v>
      </c>
      <c r="J574">
        <v>0</v>
      </c>
      <c r="K574" s="5"/>
    </row>
    <row r="575" spans="1:13" x14ac:dyDescent="0.3">
      <c r="A575" t="s">
        <v>784</v>
      </c>
      <c r="B575" t="s">
        <v>38</v>
      </c>
      <c r="C575" t="s">
        <v>808</v>
      </c>
      <c r="D575" t="s">
        <v>611</v>
      </c>
      <c r="E575" t="s">
        <v>764</v>
      </c>
      <c r="F575" t="s">
        <v>764</v>
      </c>
      <c r="G575" t="s">
        <v>764</v>
      </c>
      <c r="H575">
        <v>10.862063900000001</v>
      </c>
      <c r="I575" s="7">
        <v>79.479011499999999</v>
      </c>
      <c r="J575">
        <v>0</v>
      </c>
      <c r="K575" s="5"/>
    </row>
    <row r="576" spans="1:13" x14ac:dyDescent="0.3">
      <c r="A576" t="s">
        <v>784</v>
      </c>
      <c r="B576" t="s">
        <v>38</v>
      </c>
      <c r="C576" t="s">
        <v>808</v>
      </c>
      <c r="D576" t="s">
        <v>612</v>
      </c>
      <c r="E576" t="s">
        <v>764</v>
      </c>
      <c r="F576" t="s">
        <v>764</v>
      </c>
      <c r="G576" t="s">
        <v>764</v>
      </c>
      <c r="H576">
        <v>12.9021849</v>
      </c>
      <c r="I576" s="7">
        <v>79.061104</v>
      </c>
      <c r="J576" t="s">
        <v>1195</v>
      </c>
      <c r="K576" s="5" t="s">
        <v>980</v>
      </c>
      <c r="L576" t="s">
        <v>808</v>
      </c>
      <c r="M576">
        <f>IF(L576=C576,1,0)</f>
        <v>1</v>
      </c>
    </row>
    <row r="577" spans="1:13" x14ac:dyDescent="0.3">
      <c r="A577" t="s">
        <v>784</v>
      </c>
      <c r="B577" t="s">
        <v>38</v>
      </c>
      <c r="C577" t="s">
        <v>808</v>
      </c>
      <c r="D577" t="s">
        <v>613</v>
      </c>
      <c r="E577" t="s">
        <v>764</v>
      </c>
      <c r="F577" t="s">
        <v>764</v>
      </c>
      <c r="G577" t="s">
        <v>764</v>
      </c>
      <c r="H577">
        <v>12.1166967</v>
      </c>
      <c r="I577" s="7">
        <v>79.598923600000006</v>
      </c>
      <c r="J577">
        <v>0</v>
      </c>
      <c r="K577" s="5"/>
    </row>
    <row r="578" spans="1:13" x14ac:dyDescent="0.3">
      <c r="A578" t="s">
        <v>784</v>
      </c>
      <c r="B578" t="s">
        <v>38</v>
      </c>
      <c r="C578" t="s">
        <v>808</v>
      </c>
      <c r="D578" t="s">
        <v>614</v>
      </c>
      <c r="E578" t="s">
        <v>764</v>
      </c>
      <c r="F578" t="s">
        <v>764</v>
      </c>
      <c r="G578" t="s">
        <v>764</v>
      </c>
      <c r="H578">
        <v>9.4926288999999997</v>
      </c>
      <c r="I578" s="7">
        <v>77.863183100000001</v>
      </c>
      <c r="J578">
        <v>0</v>
      </c>
      <c r="K578" s="5"/>
    </row>
    <row r="579" spans="1:13" x14ac:dyDescent="0.3">
      <c r="A579" t="s">
        <v>784</v>
      </c>
      <c r="B579" t="s">
        <v>39</v>
      </c>
      <c r="C579" t="s">
        <v>809</v>
      </c>
      <c r="D579" t="s">
        <v>615</v>
      </c>
      <c r="E579" t="s">
        <v>764</v>
      </c>
      <c r="F579" t="s">
        <v>764</v>
      </c>
      <c r="G579" t="s">
        <v>764</v>
      </c>
      <c r="H579">
        <v>19.62</v>
      </c>
      <c r="I579">
        <v>78.5</v>
      </c>
      <c r="J579" t="s">
        <v>1196</v>
      </c>
      <c r="K579" s="5" t="s">
        <v>981</v>
      </c>
      <c r="L579" t="s">
        <v>809</v>
      </c>
      <c r="M579">
        <f>IF(L579=C579,1,0)</f>
        <v>1</v>
      </c>
    </row>
    <row r="580" spans="1:13" x14ac:dyDescent="0.3">
      <c r="A580" t="s">
        <v>784</v>
      </c>
      <c r="B580" t="s">
        <v>39</v>
      </c>
      <c r="C580" t="s">
        <v>809</v>
      </c>
      <c r="D580" t="s">
        <v>616</v>
      </c>
      <c r="E580" t="s">
        <v>764</v>
      </c>
      <c r="F580" t="s">
        <v>764</v>
      </c>
      <c r="G580" t="s">
        <v>764</v>
      </c>
      <c r="H580">
        <v>17.7166633</v>
      </c>
      <c r="I580" s="7">
        <v>80.571260899999999</v>
      </c>
      <c r="J580">
        <v>0</v>
      </c>
      <c r="K580" s="5"/>
    </row>
    <row r="581" spans="1:13" x14ac:dyDescent="0.3">
      <c r="A581" t="s">
        <v>784</v>
      </c>
      <c r="B581" t="s">
        <v>39</v>
      </c>
      <c r="C581" t="s">
        <v>809</v>
      </c>
      <c r="D581" t="s">
        <v>617</v>
      </c>
      <c r="E581" t="s">
        <v>767</v>
      </c>
      <c r="F581" t="s">
        <v>767</v>
      </c>
      <c r="G581" t="s">
        <v>767</v>
      </c>
      <c r="H581">
        <v>17.329999999999998</v>
      </c>
      <c r="I581">
        <v>78.5</v>
      </c>
      <c r="J581" t="s">
        <v>1197</v>
      </c>
      <c r="K581" s="5" t="s">
        <v>982</v>
      </c>
      <c r="L581" t="s">
        <v>809</v>
      </c>
      <c r="M581">
        <f>IF(L581=C581,1,0)</f>
        <v>1</v>
      </c>
    </row>
    <row r="582" spans="1:13" x14ac:dyDescent="0.3">
      <c r="A582" t="s">
        <v>784</v>
      </c>
      <c r="B582" t="s">
        <v>39</v>
      </c>
      <c r="C582" t="s">
        <v>809</v>
      </c>
      <c r="D582" t="s">
        <v>618</v>
      </c>
      <c r="E582" t="s">
        <v>767</v>
      </c>
      <c r="F582" t="s">
        <v>767</v>
      </c>
      <c r="G582" t="s">
        <v>767</v>
      </c>
      <c r="H582">
        <v>18.821359000000001</v>
      </c>
      <c r="I582" s="7">
        <v>78.915066300000007</v>
      </c>
      <c r="J582">
        <v>0</v>
      </c>
      <c r="K582" s="5"/>
    </row>
    <row r="583" spans="1:13" x14ac:dyDescent="0.3">
      <c r="A583" t="s">
        <v>784</v>
      </c>
      <c r="B583" t="s">
        <v>39</v>
      </c>
      <c r="C583" t="s">
        <v>809</v>
      </c>
      <c r="D583" t="s">
        <v>619</v>
      </c>
      <c r="E583" t="s">
        <v>767</v>
      </c>
      <c r="F583" t="s">
        <v>767</v>
      </c>
      <c r="G583" t="s">
        <v>767</v>
      </c>
      <c r="H583">
        <v>17.746584299999999</v>
      </c>
      <c r="I583" s="7">
        <v>79.240721800000003</v>
      </c>
      <c r="J583">
        <v>0</v>
      </c>
      <c r="K583" s="5"/>
    </row>
    <row r="584" spans="1:13" x14ac:dyDescent="0.3">
      <c r="A584" t="s">
        <v>784</v>
      </c>
      <c r="B584" t="s">
        <v>39</v>
      </c>
      <c r="C584" t="s">
        <v>809</v>
      </c>
      <c r="D584" t="s">
        <v>620</v>
      </c>
      <c r="E584" t="s">
        <v>764</v>
      </c>
      <c r="F584" t="s">
        <v>764</v>
      </c>
      <c r="G584" t="s">
        <v>764</v>
      </c>
      <c r="H584">
        <v>18.515987200000001</v>
      </c>
      <c r="I584" s="7">
        <v>79.969396599999996</v>
      </c>
      <c r="J584">
        <v>0</v>
      </c>
      <c r="K584" s="5"/>
    </row>
    <row r="585" spans="1:13" x14ac:dyDescent="0.3">
      <c r="A585" t="s">
        <v>784</v>
      </c>
      <c r="B585" t="s">
        <v>39</v>
      </c>
      <c r="C585" t="s">
        <v>809</v>
      </c>
      <c r="D585" t="s">
        <v>621</v>
      </c>
      <c r="E585" t="s">
        <v>767</v>
      </c>
      <c r="F585" t="s">
        <v>767</v>
      </c>
      <c r="G585" t="s">
        <v>767</v>
      </c>
      <c r="H585">
        <v>16.0999202</v>
      </c>
      <c r="I585" s="7">
        <v>77.734158399999998</v>
      </c>
      <c r="J585">
        <v>0</v>
      </c>
      <c r="K585" s="5"/>
    </row>
    <row r="586" spans="1:13" x14ac:dyDescent="0.3">
      <c r="A586" t="s">
        <v>784</v>
      </c>
      <c r="B586" t="s">
        <v>39</v>
      </c>
      <c r="C586" t="s">
        <v>809</v>
      </c>
      <c r="D586" t="s">
        <v>622</v>
      </c>
      <c r="E586" t="s">
        <v>767</v>
      </c>
      <c r="F586" t="s">
        <v>767</v>
      </c>
      <c r="G586" t="s">
        <v>767</v>
      </c>
      <c r="H586">
        <v>18.316551</v>
      </c>
      <c r="I586" s="7">
        <v>78.053938099999996</v>
      </c>
      <c r="J586">
        <v>0</v>
      </c>
      <c r="K586" s="5"/>
    </row>
    <row r="587" spans="1:13" x14ac:dyDescent="0.3">
      <c r="A587" t="s">
        <v>784</v>
      </c>
      <c r="B587" t="s">
        <v>39</v>
      </c>
      <c r="C587" t="s">
        <v>809</v>
      </c>
      <c r="D587" t="s">
        <v>623</v>
      </c>
      <c r="E587" t="s">
        <v>767</v>
      </c>
      <c r="F587" t="s">
        <v>767</v>
      </c>
      <c r="G587" t="s">
        <v>767</v>
      </c>
      <c r="H587">
        <v>18.47</v>
      </c>
      <c r="I587">
        <v>79.099999999999994</v>
      </c>
      <c r="J587">
        <v>0</v>
      </c>
      <c r="K587" s="5"/>
    </row>
    <row r="588" spans="1:13" x14ac:dyDescent="0.3">
      <c r="A588" t="s">
        <v>784</v>
      </c>
      <c r="B588" t="s">
        <v>39</v>
      </c>
      <c r="C588" t="s">
        <v>809</v>
      </c>
      <c r="D588" t="s">
        <v>624</v>
      </c>
      <c r="E588" t="s">
        <v>764</v>
      </c>
      <c r="F588" t="s">
        <v>764</v>
      </c>
      <c r="G588" t="s">
        <v>764</v>
      </c>
      <c r="H588">
        <v>17.25</v>
      </c>
      <c r="I588">
        <v>80.180000000000007</v>
      </c>
      <c r="J588" t="s">
        <v>1198</v>
      </c>
      <c r="K588" s="5" t="s">
        <v>983</v>
      </c>
      <c r="L588" t="s">
        <v>809</v>
      </c>
      <c r="M588">
        <f>IF(L588=C588,1,0)</f>
        <v>1</v>
      </c>
    </row>
    <row r="589" spans="1:13" x14ac:dyDescent="0.3">
      <c r="A589" t="s">
        <v>784</v>
      </c>
      <c r="B589" t="s">
        <v>39</v>
      </c>
      <c r="C589" t="s">
        <v>809</v>
      </c>
      <c r="D589" t="s">
        <v>625</v>
      </c>
      <c r="E589" t="s">
        <v>764</v>
      </c>
      <c r="F589" t="s">
        <v>764</v>
      </c>
      <c r="G589" t="s">
        <v>764</v>
      </c>
      <c r="H589">
        <v>19.333818900000001</v>
      </c>
      <c r="I589" s="7">
        <v>79.421979300000004</v>
      </c>
      <c r="J589">
        <v>0</v>
      </c>
      <c r="K589" s="5"/>
    </row>
    <row r="590" spans="1:13" x14ac:dyDescent="0.3">
      <c r="A590" t="s">
        <v>784</v>
      </c>
      <c r="B590" t="s">
        <v>39</v>
      </c>
      <c r="C590" t="s">
        <v>809</v>
      </c>
      <c r="D590" t="s">
        <v>626</v>
      </c>
      <c r="E590" t="s">
        <v>780</v>
      </c>
      <c r="F590" t="s">
        <v>767</v>
      </c>
      <c r="G590" t="s">
        <v>780</v>
      </c>
      <c r="H590">
        <v>17.7138983</v>
      </c>
      <c r="I590" s="7">
        <v>80.041342499999999</v>
      </c>
      <c r="J590">
        <v>0</v>
      </c>
      <c r="K590" s="5"/>
    </row>
    <row r="591" spans="1:13" x14ac:dyDescent="0.3">
      <c r="A591" t="s">
        <v>784</v>
      </c>
      <c r="B591" t="s">
        <v>39</v>
      </c>
      <c r="C591" t="s">
        <v>809</v>
      </c>
      <c r="D591" t="s">
        <v>627</v>
      </c>
      <c r="E591" t="s">
        <v>767</v>
      </c>
      <c r="F591" t="s">
        <v>767</v>
      </c>
      <c r="G591" t="s">
        <v>767</v>
      </c>
      <c r="H591">
        <v>16.7</v>
      </c>
      <c r="I591">
        <v>77.97</v>
      </c>
      <c r="J591">
        <v>0</v>
      </c>
      <c r="K591" s="5"/>
    </row>
    <row r="592" spans="1:13" x14ac:dyDescent="0.3">
      <c r="A592" t="s">
        <v>784</v>
      </c>
      <c r="B592" t="s">
        <v>39</v>
      </c>
      <c r="C592" t="s">
        <v>809</v>
      </c>
      <c r="D592" t="s">
        <v>628</v>
      </c>
      <c r="E592" t="s">
        <v>764</v>
      </c>
      <c r="F592" t="s">
        <v>764</v>
      </c>
      <c r="G592" t="s">
        <v>764</v>
      </c>
      <c r="H592">
        <v>18.981296700000001</v>
      </c>
      <c r="I592" s="7">
        <v>79.519809600000002</v>
      </c>
      <c r="J592">
        <v>0</v>
      </c>
      <c r="K592" s="5"/>
    </row>
    <row r="593" spans="1:13" x14ac:dyDescent="0.3">
      <c r="A593" t="s">
        <v>784</v>
      </c>
      <c r="B593" t="s">
        <v>39</v>
      </c>
      <c r="C593" t="s">
        <v>809</v>
      </c>
      <c r="D593" t="s">
        <v>629</v>
      </c>
      <c r="E593" t="s">
        <v>767</v>
      </c>
      <c r="F593" t="s">
        <v>767</v>
      </c>
      <c r="G593" t="s">
        <v>767</v>
      </c>
      <c r="H593">
        <v>18.05</v>
      </c>
      <c r="I593">
        <v>78.3</v>
      </c>
      <c r="J593" t="s">
        <v>1199</v>
      </c>
      <c r="K593" s="5" t="s">
        <v>984</v>
      </c>
      <c r="L593" t="s">
        <v>809</v>
      </c>
      <c r="M593">
        <f>IF(L593=C593,1,0)</f>
        <v>1</v>
      </c>
    </row>
    <row r="594" spans="1:13" x14ac:dyDescent="0.3">
      <c r="A594" t="s">
        <v>784</v>
      </c>
      <c r="B594" t="s">
        <v>39</v>
      </c>
      <c r="C594" t="s">
        <v>809</v>
      </c>
      <c r="D594" t="s">
        <v>630</v>
      </c>
      <c r="E594" t="s">
        <v>767</v>
      </c>
      <c r="F594" t="s">
        <v>767</v>
      </c>
      <c r="G594" t="s">
        <v>767</v>
      </c>
      <c r="H594">
        <v>17.633992899999999</v>
      </c>
      <c r="I594" s="7">
        <v>78.484314600000005</v>
      </c>
      <c r="J594">
        <v>0</v>
      </c>
      <c r="K594" s="5"/>
    </row>
    <row r="595" spans="1:13" x14ac:dyDescent="0.3">
      <c r="A595" t="s">
        <v>784</v>
      </c>
      <c r="B595" t="s">
        <v>39</v>
      </c>
      <c r="C595" t="s">
        <v>809</v>
      </c>
      <c r="D595" t="s">
        <v>631</v>
      </c>
      <c r="E595" t="s">
        <v>780</v>
      </c>
      <c r="F595" t="s">
        <v>767</v>
      </c>
      <c r="G595" t="s">
        <v>780</v>
      </c>
      <c r="H595">
        <v>18.314534800000001</v>
      </c>
      <c r="I595" s="7">
        <v>80.345881599999998</v>
      </c>
      <c r="J595">
        <v>0</v>
      </c>
      <c r="K595" s="5"/>
    </row>
    <row r="596" spans="1:13" x14ac:dyDescent="0.3">
      <c r="A596" t="s">
        <v>784</v>
      </c>
      <c r="B596" t="s">
        <v>39</v>
      </c>
      <c r="C596" t="s">
        <v>809</v>
      </c>
      <c r="D596" t="s">
        <v>632</v>
      </c>
      <c r="E596" t="s">
        <v>780</v>
      </c>
      <c r="F596" t="s">
        <v>767</v>
      </c>
      <c r="G596" t="s">
        <v>780</v>
      </c>
      <c r="H596">
        <v>16.415762699999998</v>
      </c>
      <c r="I596" s="7">
        <v>78.683043299999994</v>
      </c>
      <c r="J596">
        <v>0</v>
      </c>
      <c r="K596" s="5"/>
    </row>
    <row r="597" spans="1:13" x14ac:dyDescent="0.3">
      <c r="A597" t="s">
        <v>784</v>
      </c>
      <c r="B597" t="s">
        <v>39</v>
      </c>
      <c r="C597" t="s">
        <v>809</v>
      </c>
      <c r="D597" t="s">
        <v>633</v>
      </c>
      <c r="E597" t="s">
        <v>781</v>
      </c>
      <c r="F597" t="s">
        <v>767</v>
      </c>
      <c r="G597" t="s">
        <v>770</v>
      </c>
      <c r="H597">
        <v>17.05</v>
      </c>
      <c r="I597">
        <v>79.03</v>
      </c>
      <c r="J597" t="s">
        <v>1200</v>
      </c>
      <c r="K597" s="5" t="s">
        <v>985</v>
      </c>
      <c r="L597" t="s">
        <v>809</v>
      </c>
      <c r="M597">
        <f>IF(L597=C597,1,0)</f>
        <v>1</v>
      </c>
    </row>
    <row r="598" spans="1:13" x14ac:dyDescent="0.3">
      <c r="A598" t="s">
        <v>784</v>
      </c>
      <c r="B598" t="s">
        <v>39</v>
      </c>
      <c r="C598" t="s">
        <v>809</v>
      </c>
      <c r="D598" t="s">
        <v>634</v>
      </c>
      <c r="E598" t="s">
        <v>767</v>
      </c>
      <c r="F598" t="s">
        <v>767</v>
      </c>
      <c r="G598" t="s">
        <v>767</v>
      </c>
      <c r="H598">
        <v>16.7005518</v>
      </c>
      <c r="I598" s="7">
        <v>77.616484499999999</v>
      </c>
      <c r="J598">
        <v>0</v>
      </c>
      <c r="K598" s="5"/>
    </row>
    <row r="599" spans="1:13" x14ac:dyDescent="0.3">
      <c r="A599" t="s">
        <v>784</v>
      </c>
      <c r="B599" t="s">
        <v>39</v>
      </c>
      <c r="C599" t="s">
        <v>809</v>
      </c>
      <c r="D599" t="s">
        <v>635</v>
      </c>
      <c r="E599" t="s">
        <v>767</v>
      </c>
      <c r="F599" t="s">
        <v>767</v>
      </c>
      <c r="G599" t="s">
        <v>767</v>
      </c>
      <c r="H599">
        <v>19.091521</v>
      </c>
      <c r="I599" s="7">
        <v>78.396608999999998</v>
      </c>
      <c r="J599">
        <v>0</v>
      </c>
      <c r="K599" s="5"/>
    </row>
    <row r="600" spans="1:13" x14ac:dyDescent="0.3">
      <c r="A600" t="s">
        <v>784</v>
      </c>
      <c r="B600" t="s">
        <v>39</v>
      </c>
      <c r="C600" t="s">
        <v>809</v>
      </c>
      <c r="D600" t="s">
        <v>636</v>
      </c>
      <c r="E600" t="s">
        <v>767</v>
      </c>
      <c r="F600" t="s">
        <v>767</v>
      </c>
      <c r="G600" t="s">
        <v>767</v>
      </c>
      <c r="H600">
        <v>18.670000000000002</v>
      </c>
      <c r="I600">
        <v>78.17</v>
      </c>
      <c r="J600" t="s">
        <v>1201</v>
      </c>
      <c r="K600" s="5" t="s">
        <v>986</v>
      </c>
      <c r="L600" t="s">
        <v>809</v>
      </c>
      <c r="M600">
        <f>IF(L600=C600,1,0)</f>
        <v>1</v>
      </c>
    </row>
    <row r="601" spans="1:13" x14ac:dyDescent="0.3">
      <c r="A601" t="s">
        <v>784</v>
      </c>
      <c r="B601" t="s">
        <v>39</v>
      </c>
      <c r="C601" t="s">
        <v>809</v>
      </c>
      <c r="D601" t="s">
        <v>637</v>
      </c>
      <c r="E601" t="s">
        <v>780</v>
      </c>
      <c r="F601" t="s">
        <v>767</v>
      </c>
      <c r="G601" t="s">
        <v>780</v>
      </c>
      <c r="H601">
        <v>18.620653099999998</v>
      </c>
      <c r="I601" s="7">
        <v>79.495017099999998</v>
      </c>
      <c r="J601">
        <v>0</v>
      </c>
      <c r="K601" s="5"/>
    </row>
    <row r="602" spans="1:13" x14ac:dyDescent="0.3">
      <c r="A602" t="s">
        <v>784</v>
      </c>
      <c r="B602" t="s">
        <v>39</v>
      </c>
      <c r="C602" t="s">
        <v>809</v>
      </c>
      <c r="D602" t="s">
        <v>638</v>
      </c>
      <c r="E602" t="s">
        <v>767</v>
      </c>
      <c r="F602" t="s">
        <v>767</v>
      </c>
      <c r="G602" t="s">
        <v>767</v>
      </c>
      <c r="H602">
        <v>18.452116</v>
      </c>
      <c r="I602" s="7">
        <v>78.764558399999999</v>
      </c>
      <c r="J602">
        <v>0</v>
      </c>
      <c r="K602" s="5"/>
    </row>
    <row r="603" spans="1:13" x14ac:dyDescent="0.3">
      <c r="A603" t="s">
        <v>784</v>
      </c>
      <c r="B603" t="s">
        <v>39</v>
      </c>
      <c r="C603" t="s">
        <v>809</v>
      </c>
      <c r="D603" t="s">
        <v>639</v>
      </c>
      <c r="E603" t="s">
        <v>767</v>
      </c>
      <c r="F603" t="s">
        <v>767</v>
      </c>
      <c r="G603" t="s">
        <v>767</v>
      </c>
      <c r="H603">
        <v>10.33</v>
      </c>
      <c r="I603">
        <v>77.5</v>
      </c>
      <c r="J603">
        <v>0</v>
      </c>
      <c r="K603" s="5"/>
    </row>
    <row r="604" spans="1:13" x14ac:dyDescent="0.3">
      <c r="A604" t="s">
        <v>784</v>
      </c>
      <c r="B604" t="s">
        <v>39</v>
      </c>
      <c r="C604" t="s">
        <v>809</v>
      </c>
      <c r="D604" t="s">
        <v>640</v>
      </c>
      <c r="E604" t="s">
        <v>767</v>
      </c>
      <c r="F604" t="s">
        <v>767</v>
      </c>
      <c r="G604" t="s">
        <v>767</v>
      </c>
      <c r="H604">
        <v>17.868434199999999</v>
      </c>
      <c r="I604" s="7">
        <v>77.822718899999998</v>
      </c>
      <c r="J604">
        <v>0</v>
      </c>
      <c r="K604" s="5"/>
    </row>
    <row r="605" spans="1:13" x14ac:dyDescent="0.3">
      <c r="A605" t="s">
        <v>784</v>
      </c>
      <c r="B605" t="s">
        <v>39</v>
      </c>
      <c r="C605" t="s">
        <v>809</v>
      </c>
      <c r="D605" t="s">
        <v>641</v>
      </c>
      <c r="E605" t="s">
        <v>767</v>
      </c>
      <c r="F605" t="s">
        <v>767</v>
      </c>
      <c r="G605" t="s">
        <v>767</v>
      </c>
      <c r="H605">
        <v>18.005585100000001</v>
      </c>
      <c r="I605" s="7">
        <v>78.896113</v>
      </c>
      <c r="J605">
        <v>0</v>
      </c>
      <c r="K605" s="5"/>
    </row>
    <row r="606" spans="1:13" x14ac:dyDescent="0.3">
      <c r="A606" t="s">
        <v>784</v>
      </c>
      <c r="B606" t="s">
        <v>39</v>
      </c>
      <c r="C606" t="s">
        <v>809</v>
      </c>
      <c r="D606" t="s">
        <v>642</v>
      </c>
      <c r="E606" t="s">
        <v>780</v>
      </c>
      <c r="F606" t="s">
        <v>767</v>
      </c>
      <c r="G606" t="s">
        <v>780</v>
      </c>
      <c r="H606">
        <v>17.080013900000001</v>
      </c>
      <c r="I606" s="7">
        <v>79.792533000000006</v>
      </c>
      <c r="J606">
        <v>0</v>
      </c>
      <c r="K606" s="5"/>
    </row>
    <row r="607" spans="1:13" x14ac:dyDescent="0.3">
      <c r="A607" t="s">
        <v>784</v>
      </c>
      <c r="B607" t="s">
        <v>39</v>
      </c>
      <c r="C607" t="s">
        <v>809</v>
      </c>
      <c r="D607" t="s">
        <v>643</v>
      </c>
      <c r="E607" t="s">
        <v>767</v>
      </c>
      <c r="F607" t="s">
        <v>767</v>
      </c>
      <c r="G607" t="s">
        <v>767</v>
      </c>
      <c r="H607">
        <v>17.2702855</v>
      </c>
      <c r="I607" s="7">
        <v>77.745296999999994</v>
      </c>
      <c r="J607">
        <v>0</v>
      </c>
      <c r="K607" s="5"/>
    </row>
    <row r="608" spans="1:13" x14ac:dyDescent="0.3">
      <c r="A608" t="s">
        <v>784</v>
      </c>
      <c r="B608" t="s">
        <v>39</v>
      </c>
      <c r="C608" t="s">
        <v>809</v>
      </c>
      <c r="D608" t="s">
        <v>644</v>
      </c>
      <c r="E608" t="s">
        <v>767</v>
      </c>
      <c r="F608" t="s">
        <v>767</v>
      </c>
      <c r="G608" t="s">
        <v>767</v>
      </c>
      <c r="H608">
        <v>16.285294400000002</v>
      </c>
      <c r="I608" s="7">
        <v>77.986447299999995</v>
      </c>
      <c r="J608">
        <v>0</v>
      </c>
      <c r="K608" s="5"/>
    </row>
    <row r="609" spans="1:13" x14ac:dyDescent="0.3">
      <c r="A609" t="s">
        <v>784</v>
      </c>
      <c r="B609" t="s">
        <v>39</v>
      </c>
      <c r="C609" t="s">
        <v>809</v>
      </c>
      <c r="D609" t="s">
        <v>645</v>
      </c>
      <c r="E609" t="s">
        <v>781</v>
      </c>
      <c r="F609" t="s">
        <v>767</v>
      </c>
      <c r="G609" t="s">
        <v>770</v>
      </c>
      <c r="J609">
        <v>0</v>
      </c>
      <c r="K609" s="5"/>
    </row>
    <row r="610" spans="1:13" x14ac:dyDescent="0.3">
      <c r="A610" t="s">
        <v>784</v>
      </c>
      <c r="B610" t="s">
        <v>39</v>
      </c>
      <c r="C610" t="s">
        <v>809</v>
      </c>
      <c r="D610" t="s">
        <v>646</v>
      </c>
      <c r="E610" t="s">
        <v>781</v>
      </c>
      <c r="F610" t="s">
        <v>767</v>
      </c>
      <c r="G610" t="s">
        <v>770</v>
      </c>
      <c r="H610">
        <v>18.045847899999998</v>
      </c>
      <c r="I610" s="7">
        <v>79.611547099999996</v>
      </c>
      <c r="J610">
        <v>0</v>
      </c>
      <c r="K610" s="5"/>
    </row>
    <row r="611" spans="1:13" x14ac:dyDescent="0.3">
      <c r="A611" t="s">
        <v>784</v>
      </c>
      <c r="B611" t="s">
        <v>39</v>
      </c>
      <c r="C611" t="s">
        <v>809</v>
      </c>
      <c r="D611" t="s">
        <v>647</v>
      </c>
      <c r="E611" t="s">
        <v>767</v>
      </c>
      <c r="F611" t="s">
        <v>767</v>
      </c>
      <c r="G611" t="s">
        <v>767</v>
      </c>
      <c r="H611">
        <v>17.428196700000001</v>
      </c>
      <c r="I611" s="7">
        <v>79.090491</v>
      </c>
      <c r="J611">
        <v>0</v>
      </c>
      <c r="K611" s="5"/>
    </row>
    <row r="612" spans="1:13" x14ac:dyDescent="0.3">
      <c r="A612" t="s">
        <v>784</v>
      </c>
      <c r="B612" t="s">
        <v>40</v>
      </c>
      <c r="C612" t="s">
        <v>810</v>
      </c>
      <c r="D612" t="s">
        <v>648</v>
      </c>
      <c r="E612" t="s">
        <v>764</v>
      </c>
      <c r="F612" t="s">
        <v>764</v>
      </c>
      <c r="G612" t="s">
        <v>764</v>
      </c>
      <c r="H612">
        <v>23.75</v>
      </c>
      <c r="I612">
        <v>91.98</v>
      </c>
      <c r="J612">
        <v>0</v>
      </c>
      <c r="K612" s="5"/>
    </row>
    <row r="613" spans="1:13" x14ac:dyDescent="0.3">
      <c r="A613" t="s">
        <v>784</v>
      </c>
      <c r="B613" t="s">
        <v>40</v>
      </c>
      <c r="C613" t="s">
        <v>810</v>
      </c>
      <c r="D613" t="s">
        <v>649</v>
      </c>
      <c r="E613" t="s">
        <v>764</v>
      </c>
      <c r="F613" t="s">
        <v>764</v>
      </c>
      <c r="G613" t="s">
        <v>764</v>
      </c>
      <c r="H613">
        <v>23.498740699999999</v>
      </c>
      <c r="I613" s="7">
        <v>91.299911100000003</v>
      </c>
      <c r="J613">
        <v>0</v>
      </c>
      <c r="K613" s="5"/>
    </row>
    <row r="614" spans="1:13" x14ac:dyDescent="0.3">
      <c r="A614" t="s">
        <v>784</v>
      </c>
      <c r="B614" t="s">
        <v>40</v>
      </c>
      <c r="C614" t="s">
        <v>810</v>
      </c>
      <c r="D614" t="s">
        <v>650</v>
      </c>
      <c r="E614" t="s">
        <v>764</v>
      </c>
      <c r="F614" t="s">
        <v>764</v>
      </c>
      <c r="G614" t="s">
        <v>764</v>
      </c>
      <c r="H614">
        <v>23.9563913</v>
      </c>
      <c r="I614" s="7">
        <v>91.642106999999996</v>
      </c>
      <c r="J614">
        <v>0</v>
      </c>
      <c r="K614" s="5"/>
    </row>
    <row r="615" spans="1:13" x14ac:dyDescent="0.3">
      <c r="A615" t="s">
        <v>784</v>
      </c>
      <c r="B615" t="s">
        <v>40</v>
      </c>
      <c r="C615" t="s">
        <v>810</v>
      </c>
      <c r="D615" t="s">
        <v>651</v>
      </c>
      <c r="E615" t="s">
        <v>764</v>
      </c>
      <c r="F615" t="s">
        <v>764</v>
      </c>
      <c r="G615" t="s">
        <v>764</v>
      </c>
      <c r="H615">
        <v>24.33</v>
      </c>
      <c r="I615">
        <v>92.02</v>
      </c>
      <c r="J615">
        <v>0</v>
      </c>
      <c r="K615" s="5"/>
    </row>
    <row r="616" spans="1:13" x14ac:dyDescent="0.3">
      <c r="A616" t="s">
        <v>784</v>
      </c>
      <c r="B616" t="s">
        <v>40</v>
      </c>
      <c r="C616" t="s">
        <v>810</v>
      </c>
      <c r="D616" t="s">
        <v>652</v>
      </c>
      <c r="E616" t="s">
        <v>764</v>
      </c>
      <c r="F616" t="s">
        <v>764</v>
      </c>
      <c r="G616" t="s">
        <v>764</v>
      </c>
      <c r="H616">
        <v>23.6658005</v>
      </c>
      <c r="I616" s="7">
        <v>91.320027499999995</v>
      </c>
      <c r="J616">
        <v>0</v>
      </c>
      <c r="K616" s="5"/>
    </row>
    <row r="617" spans="1:13" x14ac:dyDescent="0.3">
      <c r="A617" t="s">
        <v>784</v>
      </c>
      <c r="B617" t="s">
        <v>40</v>
      </c>
      <c r="C617" t="s">
        <v>810</v>
      </c>
      <c r="D617" t="s">
        <v>653</v>
      </c>
      <c r="E617" t="s">
        <v>764</v>
      </c>
      <c r="F617" t="s">
        <v>764</v>
      </c>
      <c r="G617" t="s">
        <v>764</v>
      </c>
      <c r="H617">
        <v>23.52</v>
      </c>
      <c r="I617">
        <v>91.52</v>
      </c>
      <c r="J617">
        <v>0</v>
      </c>
      <c r="K617" s="5"/>
    </row>
    <row r="618" spans="1:13" x14ac:dyDescent="0.3">
      <c r="A618" t="s">
        <v>784</v>
      </c>
      <c r="B618" t="s">
        <v>40</v>
      </c>
      <c r="C618" t="s">
        <v>810</v>
      </c>
      <c r="D618" t="s">
        <v>654</v>
      </c>
      <c r="E618" t="s">
        <v>764</v>
      </c>
      <c r="F618" t="s">
        <v>764</v>
      </c>
      <c r="G618" t="s">
        <v>764</v>
      </c>
      <c r="H618">
        <v>24.1909849</v>
      </c>
      <c r="I618" s="7">
        <v>92.046048299999995</v>
      </c>
      <c r="J618">
        <v>0</v>
      </c>
      <c r="K618" s="5"/>
    </row>
    <row r="619" spans="1:13" x14ac:dyDescent="0.3">
      <c r="A619" t="s">
        <v>784</v>
      </c>
      <c r="B619" t="s">
        <v>40</v>
      </c>
      <c r="C619" t="s">
        <v>810</v>
      </c>
      <c r="D619" t="s">
        <v>655</v>
      </c>
      <c r="E619" t="s">
        <v>764</v>
      </c>
      <c r="F619" t="s">
        <v>764</v>
      </c>
      <c r="G619" t="s">
        <v>764</v>
      </c>
      <c r="H619">
        <v>23.83</v>
      </c>
      <c r="I619">
        <v>91.42</v>
      </c>
      <c r="J619">
        <v>0</v>
      </c>
      <c r="K619" s="5"/>
    </row>
    <row r="620" spans="1:13" x14ac:dyDescent="0.3">
      <c r="A620" t="s">
        <v>784</v>
      </c>
      <c r="B620" t="s">
        <v>41</v>
      </c>
      <c r="C620" t="s">
        <v>811</v>
      </c>
      <c r="D620" t="s">
        <v>656</v>
      </c>
      <c r="E620" t="s">
        <v>767</v>
      </c>
      <c r="F620" t="s">
        <v>767</v>
      </c>
      <c r="G620" t="s">
        <v>767</v>
      </c>
      <c r="H620">
        <v>27.17</v>
      </c>
      <c r="I620">
        <v>78.08</v>
      </c>
      <c r="J620" t="s">
        <v>1202</v>
      </c>
      <c r="K620" s="5" t="s">
        <v>987</v>
      </c>
      <c r="L620" t="s">
        <v>811</v>
      </c>
      <c r="M620">
        <f>IF(L620=C620,1,0)</f>
        <v>1</v>
      </c>
    </row>
    <row r="621" spans="1:13" x14ac:dyDescent="0.3">
      <c r="A621" t="s">
        <v>784</v>
      </c>
      <c r="B621" t="s">
        <v>41</v>
      </c>
      <c r="C621" t="s">
        <v>811</v>
      </c>
      <c r="D621" t="s">
        <v>657</v>
      </c>
      <c r="E621" t="s">
        <v>767</v>
      </c>
      <c r="F621" t="s">
        <v>767</v>
      </c>
      <c r="G621" t="s">
        <v>767</v>
      </c>
      <c r="H621">
        <v>27.5</v>
      </c>
      <c r="I621">
        <v>79.67</v>
      </c>
      <c r="J621" t="s">
        <v>1180</v>
      </c>
      <c r="K621" s="5" t="s">
        <v>965</v>
      </c>
      <c r="L621" t="s">
        <v>811</v>
      </c>
      <c r="M621">
        <f>IF(L621=C621,1,0)</f>
        <v>1</v>
      </c>
    </row>
    <row r="622" spans="1:13" x14ac:dyDescent="0.3">
      <c r="A622" t="s">
        <v>784</v>
      </c>
      <c r="B622" t="s">
        <v>41</v>
      </c>
      <c r="C622" t="s">
        <v>811</v>
      </c>
      <c r="D622" t="s">
        <v>658</v>
      </c>
      <c r="E622" t="s">
        <v>767</v>
      </c>
      <c r="F622" t="s">
        <v>767</v>
      </c>
      <c r="G622" t="s">
        <v>767</v>
      </c>
      <c r="H622">
        <v>26.43</v>
      </c>
      <c r="I622">
        <v>52.55</v>
      </c>
      <c r="J622">
        <v>0</v>
      </c>
      <c r="K622" s="5"/>
    </row>
    <row r="623" spans="1:13" x14ac:dyDescent="0.3">
      <c r="A623" t="s">
        <v>784</v>
      </c>
      <c r="B623" t="s">
        <v>41</v>
      </c>
      <c r="C623" t="s">
        <v>811</v>
      </c>
      <c r="D623" t="s">
        <v>659</v>
      </c>
      <c r="E623" t="s">
        <v>767</v>
      </c>
      <c r="F623" t="s">
        <v>767</v>
      </c>
      <c r="G623" t="s">
        <v>767</v>
      </c>
      <c r="H623">
        <v>26.346274099999999</v>
      </c>
      <c r="I623" s="7">
        <v>81.625203900000002</v>
      </c>
      <c r="J623">
        <v>0</v>
      </c>
      <c r="K623" s="5"/>
    </row>
    <row r="624" spans="1:13" x14ac:dyDescent="0.3">
      <c r="A624" t="s">
        <v>784</v>
      </c>
      <c r="B624" t="s">
        <v>41</v>
      </c>
      <c r="C624" t="s">
        <v>811</v>
      </c>
      <c r="D624" t="s">
        <v>660</v>
      </c>
      <c r="E624" t="s">
        <v>767</v>
      </c>
      <c r="F624" t="s">
        <v>767</v>
      </c>
      <c r="G624" t="s">
        <v>767</v>
      </c>
      <c r="H624">
        <v>28.795263200000001</v>
      </c>
      <c r="I624" s="7">
        <v>78.343624399999996</v>
      </c>
      <c r="J624">
        <v>0</v>
      </c>
      <c r="K624" s="5"/>
    </row>
    <row r="625" spans="1:13" x14ac:dyDescent="0.3">
      <c r="A625" t="s">
        <v>784</v>
      </c>
      <c r="B625" t="s">
        <v>41</v>
      </c>
      <c r="C625" t="s">
        <v>811</v>
      </c>
      <c r="D625" t="s">
        <v>661</v>
      </c>
      <c r="E625" t="s">
        <v>767</v>
      </c>
      <c r="F625" t="s">
        <v>767</v>
      </c>
      <c r="G625" t="s">
        <v>767</v>
      </c>
      <c r="H625">
        <v>26.47</v>
      </c>
      <c r="I625">
        <v>79.52</v>
      </c>
      <c r="J625">
        <v>0</v>
      </c>
      <c r="K625" s="5"/>
    </row>
    <row r="626" spans="1:13" x14ac:dyDescent="0.3">
      <c r="A626" t="s">
        <v>784</v>
      </c>
      <c r="B626" t="s">
        <v>41</v>
      </c>
      <c r="C626" t="s">
        <v>811</v>
      </c>
      <c r="D626" t="s">
        <v>662</v>
      </c>
      <c r="E626" t="s">
        <v>767</v>
      </c>
      <c r="F626" t="s">
        <v>767</v>
      </c>
      <c r="G626" t="s">
        <v>767</v>
      </c>
      <c r="H626">
        <v>26.799070700000001</v>
      </c>
      <c r="I626" s="7">
        <v>82.205232100000003</v>
      </c>
      <c r="J626">
        <v>0</v>
      </c>
      <c r="K626" s="5"/>
    </row>
    <row r="627" spans="1:13" x14ac:dyDescent="0.3">
      <c r="A627" t="s">
        <v>784</v>
      </c>
      <c r="B627" t="s">
        <v>41</v>
      </c>
      <c r="C627" t="s">
        <v>811</v>
      </c>
      <c r="D627" t="s">
        <v>663</v>
      </c>
      <c r="E627" t="s">
        <v>767</v>
      </c>
      <c r="F627" t="s">
        <v>767</v>
      </c>
      <c r="G627" t="s">
        <v>767</v>
      </c>
      <c r="H627">
        <v>26.05</v>
      </c>
      <c r="I627">
        <v>83.22</v>
      </c>
      <c r="J627">
        <v>0</v>
      </c>
      <c r="K627" s="5"/>
    </row>
    <row r="628" spans="1:13" x14ac:dyDescent="0.3">
      <c r="A628" t="s">
        <v>784</v>
      </c>
      <c r="B628" t="s">
        <v>41</v>
      </c>
      <c r="C628" t="s">
        <v>811</v>
      </c>
      <c r="D628" t="s">
        <v>664</v>
      </c>
      <c r="E628" t="s">
        <v>767</v>
      </c>
      <c r="F628" t="s">
        <v>767</v>
      </c>
      <c r="G628" t="s">
        <v>767</v>
      </c>
      <c r="H628">
        <v>28.95</v>
      </c>
      <c r="I628">
        <v>77.22</v>
      </c>
      <c r="J628">
        <v>0</v>
      </c>
      <c r="K628" s="5"/>
    </row>
    <row r="629" spans="1:13" x14ac:dyDescent="0.3">
      <c r="A629" t="s">
        <v>784</v>
      </c>
      <c r="B629" t="s">
        <v>41</v>
      </c>
      <c r="C629" t="s">
        <v>811</v>
      </c>
      <c r="D629" t="s">
        <v>665</v>
      </c>
      <c r="E629" t="s">
        <v>767</v>
      </c>
      <c r="F629" t="s">
        <v>767</v>
      </c>
      <c r="G629" t="s">
        <v>767</v>
      </c>
      <c r="H629">
        <v>27.57</v>
      </c>
      <c r="I629">
        <v>81.63</v>
      </c>
      <c r="J629" t="s">
        <v>1203</v>
      </c>
      <c r="K629" s="5" t="s">
        <v>988</v>
      </c>
      <c r="L629" t="s">
        <v>811</v>
      </c>
      <c r="M629">
        <f>IF(L629=C629,1,0)</f>
        <v>1</v>
      </c>
    </row>
    <row r="630" spans="1:13" x14ac:dyDescent="0.3">
      <c r="A630" t="s">
        <v>784</v>
      </c>
      <c r="B630" t="s">
        <v>41</v>
      </c>
      <c r="C630" t="s">
        <v>811</v>
      </c>
      <c r="D630" t="s">
        <v>666</v>
      </c>
      <c r="E630" t="s">
        <v>767</v>
      </c>
      <c r="F630" t="s">
        <v>767</v>
      </c>
      <c r="G630" t="s">
        <v>767</v>
      </c>
      <c r="H630">
        <v>25.73</v>
      </c>
      <c r="I630">
        <v>84.18</v>
      </c>
      <c r="J630" t="s">
        <v>1204</v>
      </c>
      <c r="K630" s="5" t="s">
        <v>989</v>
      </c>
      <c r="L630" t="s">
        <v>811</v>
      </c>
      <c r="M630">
        <f>IF(L630=C630,1,0)</f>
        <v>1</v>
      </c>
    </row>
    <row r="631" spans="1:13" x14ac:dyDescent="0.3">
      <c r="A631" t="s">
        <v>784</v>
      </c>
      <c r="B631" t="s">
        <v>41</v>
      </c>
      <c r="C631" t="s">
        <v>811</v>
      </c>
      <c r="D631" t="s">
        <v>158</v>
      </c>
      <c r="E631" t="s">
        <v>767</v>
      </c>
      <c r="F631" t="s">
        <v>767</v>
      </c>
      <c r="G631" t="s">
        <v>767</v>
      </c>
      <c r="H631">
        <v>27.42</v>
      </c>
      <c r="I631">
        <v>82.17</v>
      </c>
      <c r="J631">
        <v>0</v>
      </c>
      <c r="K631" s="5"/>
    </row>
    <row r="632" spans="1:13" x14ac:dyDescent="0.3">
      <c r="A632" t="s">
        <v>784</v>
      </c>
      <c r="B632" t="s">
        <v>41</v>
      </c>
      <c r="C632" t="s">
        <v>811</v>
      </c>
      <c r="D632" t="s">
        <v>667</v>
      </c>
      <c r="E632" t="s">
        <v>767</v>
      </c>
      <c r="F632" t="s">
        <v>767</v>
      </c>
      <c r="G632" t="s">
        <v>767</v>
      </c>
      <c r="H632">
        <v>25.33</v>
      </c>
      <c r="I632">
        <v>80.37</v>
      </c>
      <c r="J632" t="s">
        <v>1205</v>
      </c>
      <c r="K632" s="5" t="s">
        <v>990</v>
      </c>
      <c r="L632" t="s">
        <v>811</v>
      </c>
      <c r="M632">
        <f>IF(L632=C632,1,0)</f>
        <v>1</v>
      </c>
    </row>
    <row r="633" spans="1:13" x14ac:dyDescent="0.3">
      <c r="A633" t="s">
        <v>784</v>
      </c>
      <c r="B633" t="s">
        <v>41</v>
      </c>
      <c r="C633" t="s">
        <v>811</v>
      </c>
      <c r="D633" t="s">
        <v>668</v>
      </c>
      <c r="E633" t="s">
        <v>767</v>
      </c>
      <c r="F633" t="s">
        <v>767</v>
      </c>
      <c r="G633" t="s">
        <v>767</v>
      </c>
      <c r="H633">
        <v>26.93</v>
      </c>
      <c r="I633">
        <v>81.22</v>
      </c>
      <c r="J633">
        <v>0</v>
      </c>
      <c r="K633" s="5"/>
    </row>
    <row r="634" spans="1:13" x14ac:dyDescent="0.3">
      <c r="A634" t="s">
        <v>784</v>
      </c>
      <c r="B634" t="s">
        <v>41</v>
      </c>
      <c r="C634" t="s">
        <v>811</v>
      </c>
      <c r="D634" t="s">
        <v>669</v>
      </c>
      <c r="E634" t="s">
        <v>767</v>
      </c>
      <c r="F634" t="s">
        <v>767</v>
      </c>
      <c r="G634" t="s">
        <v>767</v>
      </c>
      <c r="H634">
        <v>28.37</v>
      </c>
      <c r="I634">
        <v>79.45</v>
      </c>
      <c r="J634" t="s">
        <v>1206</v>
      </c>
      <c r="K634" s="5" t="s">
        <v>991</v>
      </c>
      <c r="L634" t="s">
        <v>811</v>
      </c>
      <c r="M634">
        <f>IF(L634=C634,1,0)</f>
        <v>1</v>
      </c>
    </row>
    <row r="635" spans="1:13" x14ac:dyDescent="0.3">
      <c r="A635" t="s">
        <v>784</v>
      </c>
      <c r="B635" t="s">
        <v>41</v>
      </c>
      <c r="C635" t="s">
        <v>811</v>
      </c>
      <c r="D635" t="s">
        <v>670</v>
      </c>
      <c r="E635" t="s">
        <v>767</v>
      </c>
      <c r="F635" t="s">
        <v>767</v>
      </c>
      <c r="G635" t="s">
        <v>767</v>
      </c>
      <c r="H635">
        <v>26.8</v>
      </c>
      <c r="I635">
        <v>82.77</v>
      </c>
      <c r="J635" t="s">
        <v>1207</v>
      </c>
      <c r="K635" s="5" t="s">
        <v>992</v>
      </c>
      <c r="L635" t="s">
        <v>811</v>
      </c>
      <c r="M635">
        <f>IF(L635=C635,1,0)</f>
        <v>1</v>
      </c>
    </row>
    <row r="636" spans="1:13" x14ac:dyDescent="0.3">
      <c r="A636" t="s">
        <v>784</v>
      </c>
      <c r="B636" t="s">
        <v>41</v>
      </c>
      <c r="C636" t="s">
        <v>811</v>
      </c>
      <c r="D636" t="s">
        <v>671</v>
      </c>
      <c r="E636" t="s">
        <v>767</v>
      </c>
      <c r="F636" t="s">
        <v>767</v>
      </c>
      <c r="G636" t="s">
        <v>767</v>
      </c>
      <c r="H636">
        <v>25.424303999999999</v>
      </c>
      <c r="I636" s="7">
        <v>82.488392300000001</v>
      </c>
      <c r="J636">
        <v>0</v>
      </c>
      <c r="K636" s="5"/>
    </row>
    <row r="637" spans="1:13" x14ac:dyDescent="0.3">
      <c r="A637" t="s">
        <v>784</v>
      </c>
      <c r="B637" t="s">
        <v>41</v>
      </c>
      <c r="C637" t="s">
        <v>811</v>
      </c>
      <c r="D637" t="s">
        <v>672</v>
      </c>
      <c r="E637" t="s">
        <v>767</v>
      </c>
      <c r="F637" t="s">
        <v>767</v>
      </c>
      <c r="G637" t="s">
        <v>767</v>
      </c>
      <c r="H637">
        <v>29.38</v>
      </c>
      <c r="I637">
        <v>79.180000000000007</v>
      </c>
      <c r="J637">
        <v>0</v>
      </c>
      <c r="K637" s="5"/>
    </row>
    <row r="638" spans="1:13" x14ac:dyDescent="0.3">
      <c r="A638" t="s">
        <v>784</v>
      </c>
      <c r="B638" t="s">
        <v>41</v>
      </c>
      <c r="C638" t="s">
        <v>811</v>
      </c>
      <c r="D638" t="s">
        <v>673</v>
      </c>
      <c r="E638" t="s">
        <v>767</v>
      </c>
      <c r="F638" t="s">
        <v>767</v>
      </c>
      <c r="G638" t="s">
        <v>767</v>
      </c>
      <c r="H638">
        <v>28.05</v>
      </c>
      <c r="I638">
        <v>79.12</v>
      </c>
      <c r="J638">
        <v>0</v>
      </c>
      <c r="K638" s="5"/>
    </row>
    <row r="639" spans="1:13" x14ac:dyDescent="0.3">
      <c r="A639" t="s">
        <v>784</v>
      </c>
      <c r="B639" t="s">
        <v>41</v>
      </c>
      <c r="C639" t="s">
        <v>811</v>
      </c>
      <c r="D639" t="s">
        <v>674</v>
      </c>
      <c r="E639" t="s">
        <v>767</v>
      </c>
      <c r="F639" t="s">
        <v>767</v>
      </c>
      <c r="G639" t="s">
        <v>767</v>
      </c>
      <c r="H639">
        <v>28.4</v>
      </c>
      <c r="I639">
        <v>77.900000000000006</v>
      </c>
      <c r="J639" t="s">
        <v>1208</v>
      </c>
      <c r="K639" s="5" t="s">
        <v>993</v>
      </c>
      <c r="L639" t="s">
        <v>811</v>
      </c>
      <c r="M639">
        <f>IF(L639=C639,1,0)</f>
        <v>1</v>
      </c>
    </row>
    <row r="640" spans="1:13" x14ac:dyDescent="0.3">
      <c r="A640" t="s">
        <v>784</v>
      </c>
      <c r="B640" t="s">
        <v>41</v>
      </c>
      <c r="C640" t="s">
        <v>811</v>
      </c>
      <c r="D640" t="s">
        <v>675</v>
      </c>
      <c r="E640" t="s">
        <v>767</v>
      </c>
      <c r="F640" t="s">
        <v>767</v>
      </c>
      <c r="G640" t="s">
        <v>767</v>
      </c>
      <c r="H640">
        <v>28.45</v>
      </c>
      <c r="I640">
        <v>78.819999999999993</v>
      </c>
      <c r="J640">
        <v>0</v>
      </c>
      <c r="K640" s="5"/>
    </row>
    <row r="641" spans="1:14" x14ac:dyDescent="0.3">
      <c r="A641" t="s">
        <v>784</v>
      </c>
      <c r="B641" t="s">
        <v>41</v>
      </c>
      <c r="C641" t="s">
        <v>811</v>
      </c>
      <c r="D641" t="s">
        <v>676</v>
      </c>
      <c r="E641" t="s">
        <v>767</v>
      </c>
      <c r="F641" t="s">
        <v>767</v>
      </c>
      <c r="G641" t="s">
        <v>767</v>
      </c>
      <c r="H641">
        <v>25.17</v>
      </c>
      <c r="I641">
        <v>80.88</v>
      </c>
      <c r="J641">
        <v>0</v>
      </c>
      <c r="K641" s="5"/>
    </row>
    <row r="642" spans="1:14" x14ac:dyDescent="0.3">
      <c r="A642" t="s">
        <v>784</v>
      </c>
      <c r="B642" t="s">
        <v>41</v>
      </c>
      <c r="C642" t="s">
        <v>811</v>
      </c>
      <c r="D642" t="s">
        <v>677</v>
      </c>
      <c r="E642" t="s">
        <v>767</v>
      </c>
      <c r="F642" t="s">
        <v>767</v>
      </c>
      <c r="G642" t="s">
        <v>767</v>
      </c>
      <c r="H642">
        <v>26.38</v>
      </c>
      <c r="I642">
        <v>83.7</v>
      </c>
      <c r="J642">
        <v>0</v>
      </c>
      <c r="K642" s="5"/>
    </row>
    <row r="643" spans="1:14" x14ac:dyDescent="0.3">
      <c r="A643" t="s">
        <v>784</v>
      </c>
      <c r="B643" t="s">
        <v>41</v>
      </c>
      <c r="C643" t="s">
        <v>811</v>
      </c>
      <c r="D643" t="s">
        <v>678</v>
      </c>
      <c r="E643" t="s">
        <v>767</v>
      </c>
      <c r="F643" t="s">
        <v>767</v>
      </c>
      <c r="G643" t="s">
        <v>767</v>
      </c>
      <c r="H643">
        <v>27.58</v>
      </c>
      <c r="I643">
        <v>78.67</v>
      </c>
      <c r="J643">
        <v>0</v>
      </c>
      <c r="K643" s="5"/>
    </row>
    <row r="644" spans="1:14" x14ac:dyDescent="0.3">
      <c r="A644" t="s">
        <v>784</v>
      </c>
      <c r="B644" t="s">
        <v>41</v>
      </c>
      <c r="C644" t="s">
        <v>811</v>
      </c>
      <c r="D644" t="s">
        <v>679</v>
      </c>
      <c r="E644" t="s">
        <v>767</v>
      </c>
      <c r="F644" t="s">
        <v>767</v>
      </c>
      <c r="G644" t="s">
        <v>767</v>
      </c>
      <c r="H644">
        <v>26.78</v>
      </c>
      <c r="I644">
        <v>79.03</v>
      </c>
      <c r="J644" t="s">
        <v>1209</v>
      </c>
      <c r="K644" s="5" t="s">
        <v>994</v>
      </c>
      <c r="L644" t="s">
        <v>811</v>
      </c>
      <c r="M644">
        <f>IF(L644=C644,1,0)</f>
        <v>1</v>
      </c>
    </row>
    <row r="645" spans="1:14" x14ac:dyDescent="0.3">
      <c r="A645" t="s">
        <v>784</v>
      </c>
      <c r="B645" t="s">
        <v>41</v>
      </c>
      <c r="C645" t="s">
        <v>811</v>
      </c>
      <c r="D645" t="s">
        <v>680</v>
      </c>
      <c r="E645" t="s">
        <v>767</v>
      </c>
      <c r="F645" t="s">
        <v>767</v>
      </c>
      <c r="G645" t="s">
        <v>767</v>
      </c>
      <c r="H645">
        <v>27.4</v>
      </c>
      <c r="I645">
        <v>79.62</v>
      </c>
      <c r="J645">
        <v>0</v>
      </c>
      <c r="K645" s="5"/>
    </row>
    <row r="646" spans="1:14" x14ac:dyDescent="0.3">
      <c r="A646" t="s">
        <v>784</v>
      </c>
      <c r="B646" t="s">
        <v>41</v>
      </c>
      <c r="C646" t="s">
        <v>811</v>
      </c>
      <c r="D646" t="s">
        <v>681</v>
      </c>
      <c r="E646" t="s">
        <v>767</v>
      </c>
      <c r="F646" t="s">
        <v>767</v>
      </c>
      <c r="G646" t="s">
        <v>767</v>
      </c>
      <c r="H646">
        <v>25.92</v>
      </c>
      <c r="I646">
        <v>80.87</v>
      </c>
      <c r="J646" t="s">
        <v>1210</v>
      </c>
      <c r="K646" s="5" t="s">
        <v>995</v>
      </c>
      <c r="L646" t="s">
        <v>811</v>
      </c>
      <c r="M646">
        <f>IF(L646=C646,1,0)</f>
        <v>1</v>
      </c>
    </row>
    <row r="647" spans="1:14" x14ac:dyDescent="0.3">
      <c r="A647" t="s">
        <v>784</v>
      </c>
      <c r="B647" t="s">
        <v>41</v>
      </c>
      <c r="C647" t="s">
        <v>811</v>
      </c>
      <c r="D647" t="s">
        <v>682</v>
      </c>
      <c r="E647" t="s">
        <v>767</v>
      </c>
      <c r="F647" t="s">
        <v>767</v>
      </c>
      <c r="G647" t="s">
        <v>767</v>
      </c>
      <c r="H647">
        <v>27.15</v>
      </c>
      <c r="I647">
        <v>78.400000000000006</v>
      </c>
      <c r="J647">
        <v>0</v>
      </c>
      <c r="K647" s="5"/>
    </row>
    <row r="648" spans="1:14" x14ac:dyDescent="0.3">
      <c r="A648" t="s">
        <v>784</v>
      </c>
      <c r="B648" t="s">
        <v>41</v>
      </c>
      <c r="C648" t="s">
        <v>811</v>
      </c>
      <c r="D648" t="s">
        <v>683</v>
      </c>
      <c r="E648" t="s">
        <v>767</v>
      </c>
      <c r="F648" t="s">
        <v>767</v>
      </c>
      <c r="G648" t="s">
        <v>767</v>
      </c>
      <c r="H648">
        <v>28.03</v>
      </c>
      <c r="I648">
        <v>70.5</v>
      </c>
      <c r="J648">
        <v>0</v>
      </c>
      <c r="K648" s="5"/>
    </row>
    <row r="649" spans="1:14" x14ac:dyDescent="0.3">
      <c r="A649" t="s">
        <v>784</v>
      </c>
      <c r="B649" t="s">
        <v>41</v>
      </c>
      <c r="C649" t="s">
        <v>811</v>
      </c>
      <c r="D649" t="s">
        <v>684</v>
      </c>
      <c r="E649" t="s">
        <v>767</v>
      </c>
      <c r="F649" t="s">
        <v>767</v>
      </c>
      <c r="G649" t="s">
        <v>767</v>
      </c>
      <c r="H649">
        <v>28.67</v>
      </c>
      <c r="I649">
        <v>77.47</v>
      </c>
      <c r="J649">
        <v>0</v>
      </c>
      <c r="K649" s="5"/>
    </row>
    <row r="650" spans="1:14" x14ac:dyDescent="0.3">
      <c r="A650" t="s">
        <v>784</v>
      </c>
      <c r="B650" t="s">
        <v>41</v>
      </c>
      <c r="C650" t="s">
        <v>811</v>
      </c>
      <c r="D650" t="s">
        <v>685</v>
      </c>
      <c r="E650" t="s">
        <v>767</v>
      </c>
      <c r="F650" t="s">
        <v>767</v>
      </c>
      <c r="G650" t="s">
        <v>767</v>
      </c>
      <c r="H650">
        <v>25.57</v>
      </c>
      <c r="I650">
        <v>83.58</v>
      </c>
      <c r="J650" t="s">
        <v>1211</v>
      </c>
      <c r="K650" s="5" t="s">
        <v>996</v>
      </c>
      <c r="L650" t="s">
        <v>811</v>
      </c>
      <c r="M650">
        <f t="shared" ref="M650:M655" si="7">IF(L650=C650,1,0)</f>
        <v>1</v>
      </c>
    </row>
    <row r="651" spans="1:14" x14ac:dyDescent="0.3">
      <c r="A651" t="s">
        <v>784</v>
      </c>
      <c r="B651" t="s">
        <v>41</v>
      </c>
      <c r="C651" t="s">
        <v>811</v>
      </c>
      <c r="D651" t="s">
        <v>686</v>
      </c>
      <c r="E651" t="s">
        <v>767</v>
      </c>
      <c r="F651" t="s">
        <v>767</v>
      </c>
      <c r="G651" t="s">
        <v>767</v>
      </c>
      <c r="H651">
        <v>27.47</v>
      </c>
      <c r="I651">
        <v>82.02</v>
      </c>
      <c r="J651" t="s">
        <v>1212</v>
      </c>
      <c r="K651" s="5" t="s">
        <v>997</v>
      </c>
      <c r="L651" t="s">
        <v>811</v>
      </c>
      <c r="M651">
        <f t="shared" si="7"/>
        <v>1</v>
      </c>
    </row>
    <row r="652" spans="1:14" x14ac:dyDescent="0.3">
      <c r="A652" t="s">
        <v>784</v>
      </c>
      <c r="B652" t="s">
        <v>41</v>
      </c>
      <c r="C652" t="s">
        <v>811</v>
      </c>
      <c r="D652" t="s">
        <v>687</v>
      </c>
      <c r="E652" t="s">
        <v>767</v>
      </c>
      <c r="F652" t="s">
        <v>767</v>
      </c>
      <c r="G652" t="s">
        <v>767</v>
      </c>
      <c r="H652">
        <v>26.75</v>
      </c>
      <c r="I652">
        <v>83.4</v>
      </c>
      <c r="J652" t="s">
        <v>1213</v>
      </c>
      <c r="K652" s="5" t="s">
        <v>998</v>
      </c>
      <c r="L652" t="s">
        <v>811</v>
      </c>
      <c r="M652">
        <f t="shared" si="7"/>
        <v>1</v>
      </c>
    </row>
    <row r="653" spans="1:14" x14ac:dyDescent="0.3">
      <c r="A653" t="s">
        <v>784</v>
      </c>
      <c r="B653" t="s">
        <v>41</v>
      </c>
      <c r="C653" t="s">
        <v>811</v>
      </c>
      <c r="D653" t="s">
        <v>254</v>
      </c>
      <c r="E653" t="s">
        <v>767</v>
      </c>
      <c r="F653" t="s">
        <v>767</v>
      </c>
      <c r="G653" t="s">
        <v>767</v>
      </c>
      <c r="H653">
        <v>25.97</v>
      </c>
      <c r="I653">
        <v>80.2</v>
      </c>
      <c r="J653" t="s">
        <v>1072</v>
      </c>
      <c r="K653" s="5" t="s">
        <v>857</v>
      </c>
      <c r="L653" t="s">
        <v>811</v>
      </c>
      <c r="M653">
        <f t="shared" si="7"/>
        <v>1</v>
      </c>
    </row>
    <row r="654" spans="1:14" x14ac:dyDescent="0.3">
      <c r="A654" t="s">
        <v>784</v>
      </c>
      <c r="B654" t="s">
        <v>41</v>
      </c>
      <c r="C654" t="s">
        <v>811</v>
      </c>
      <c r="D654" t="s">
        <v>688</v>
      </c>
      <c r="E654" t="s">
        <v>767</v>
      </c>
      <c r="F654" t="s">
        <v>767</v>
      </c>
      <c r="G654" t="s">
        <v>767</v>
      </c>
      <c r="H654">
        <v>28.716676700000001</v>
      </c>
      <c r="I654" s="7">
        <v>77.890433000000002</v>
      </c>
      <c r="J654" t="s">
        <v>1101</v>
      </c>
      <c r="K654" s="5" t="s">
        <v>886</v>
      </c>
      <c r="L654" t="s">
        <v>795</v>
      </c>
      <c r="M654">
        <f t="shared" si="7"/>
        <v>0</v>
      </c>
      <c r="N654" t="s">
        <v>1023</v>
      </c>
    </row>
    <row r="655" spans="1:14" x14ac:dyDescent="0.3">
      <c r="A655" t="s">
        <v>784</v>
      </c>
      <c r="B655" t="s">
        <v>41</v>
      </c>
      <c r="C655" t="s">
        <v>811</v>
      </c>
      <c r="D655" t="s">
        <v>689</v>
      </c>
      <c r="E655" t="s">
        <v>767</v>
      </c>
      <c r="F655" t="s">
        <v>767</v>
      </c>
      <c r="G655" t="s">
        <v>767</v>
      </c>
      <c r="H655">
        <v>27.38</v>
      </c>
      <c r="I655">
        <v>80.17</v>
      </c>
      <c r="J655" t="s">
        <v>1214</v>
      </c>
      <c r="K655" s="5" t="s">
        <v>999</v>
      </c>
      <c r="L655" t="s">
        <v>811</v>
      </c>
      <c r="M655">
        <f t="shared" si="7"/>
        <v>1</v>
      </c>
    </row>
    <row r="656" spans="1:14" x14ac:dyDescent="0.3">
      <c r="A656" t="s">
        <v>784</v>
      </c>
      <c r="B656" t="s">
        <v>41</v>
      </c>
      <c r="C656" t="s">
        <v>811</v>
      </c>
      <c r="D656" t="s">
        <v>690</v>
      </c>
      <c r="E656" t="s">
        <v>767</v>
      </c>
      <c r="F656" t="s">
        <v>767</v>
      </c>
      <c r="G656" t="s">
        <v>767</v>
      </c>
      <c r="H656">
        <v>27.5724324</v>
      </c>
      <c r="I656" s="7">
        <v>78.111620900000005</v>
      </c>
      <c r="J656">
        <v>0</v>
      </c>
      <c r="K656" s="5"/>
    </row>
    <row r="657" spans="1:13" x14ac:dyDescent="0.3">
      <c r="A657" t="s">
        <v>784</v>
      </c>
      <c r="B657" t="s">
        <v>41</v>
      </c>
      <c r="C657" t="s">
        <v>811</v>
      </c>
      <c r="D657" t="s">
        <v>691</v>
      </c>
      <c r="E657" t="s">
        <v>767</v>
      </c>
      <c r="F657" t="s">
        <v>767</v>
      </c>
      <c r="G657" t="s">
        <v>767</v>
      </c>
      <c r="H657">
        <v>26.13</v>
      </c>
      <c r="I657">
        <v>79.38</v>
      </c>
      <c r="J657">
        <v>0</v>
      </c>
      <c r="K657" s="5"/>
    </row>
    <row r="658" spans="1:13" x14ac:dyDescent="0.3">
      <c r="A658" t="s">
        <v>784</v>
      </c>
      <c r="B658" t="s">
        <v>41</v>
      </c>
      <c r="C658" t="s">
        <v>811</v>
      </c>
      <c r="D658" t="s">
        <v>692</v>
      </c>
      <c r="E658" t="s">
        <v>767</v>
      </c>
      <c r="F658" t="s">
        <v>767</v>
      </c>
      <c r="G658" t="s">
        <v>767</v>
      </c>
      <c r="H658">
        <v>25.77</v>
      </c>
      <c r="I658">
        <v>82.73</v>
      </c>
      <c r="J658">
        <v>0</v>
      </c>
      <c r="K658" s="5"/>
    </row>
    <row r="659" spans="1:13" x14ac:dyDescent="0.3">
      <c r="A659" t="s">
        <v>784</v>
      </c>
      <c r="B659" t="s">
        <v>41</v>
      </c>
      <c r="C659" t="s">
        <v>811</v>
      </c>
      <c r="D659" t="s">
        <v>693</v>
      </c>
      <c r="E659" t="s">
        <v>767</v>
      </c>
      <c r="F659" t="s">
        <v>767</v>
      </c>
      <c r="G659" t="s">
        <v>767</v>
      </c>
      <c r="H659">
        <v>25.45</v>
      </c>
      <c r="I659">
        <v>78.62</v>
      </c>
      <c r="J659" t="s">
        <v>1215</v>
      </c>
      <c r="K659" s="5" t="s">
        <v>1000</v>
      </c>
      <c r="L659" t="s">
        <v>811</v>
      </c>
      <c r="M659">
        <f>IF(L659=C659,1,0)</f>
        <v>1</v>
      </c>
    </row>
    <row r="660" spans="1:13" x14ac:dyDescent="0.3">
      <c r="A660" t="s">
        <v>784</v>
      </c>
      <c r="B660" t="s">
        <v>41</v>
      </c>
      <c r="C660" t="s">
        <v>811</v>
      </c>
      <c r="D660" t="s">
        <v>694</v>
      </c>
      <c r="E660" t="s">
        <v>767</v>
      </c>
      <c r="F660" t="s">
        <v>767</v>
      </c>
      <c r="G660" t="s">
        <v>767</v>
      </c>
      <c r="H660">
        <v>27.05</v>
      </c>
      <c r="I660">
        <v>79.97</v>
      </c>
      <c r="J660">
        <v>0</v>
      </c>
      <c r="K660" s="5"/>
    </row>
    <row r="661" spans="1:13" x14ac:dyDescent="0.3">
      <c r="A661" t="s">
        <v>784</v>
      </c>
      <c r="B661" t="s">
        <v>41</v>
      </c>
      <c r="C661" t="s">
        <v>811</v>
      </c>
      <c r="D661" t="s">
        <v>695</v>
      </c>
      <c r="E661" t="s">
        <v>767</v>
      </c>
      <c r="F661" t="s">
        <v>767</v>
      </c>
      <c r="G661" t="s">
        <v>767</v>
      </c>
      <c r="H661">
        <v>26.43</v>
      </c>
      <c r="I661">
        <v>52.55</v>
      </c>
      <c r="J661">
        <v>0</v>
      </c>
      <c r="K661" s="5"/>
    </row>
    <row r="662" spans="1:13" x14ac:dyDescent="0.3">
      <c r="A662" t="s">
        <v>784</v>
      </c>
      <c r="B662" t="s">
        <v>41</v>
      </c>
      <c r="C662" t="s">
        <v>811</v>
      </c>
      <c r="D662" t="s">
        <v>696</v>
      </c>
      <c r="E662" t="s">
        <v>767</v>
      </c>
      <c r="F662" t="s">
        <v>767</v>
      </c>
      <c r="G662" t="s">
        <v>767</v>
      </c>
      <c r="H662">
        <v>26.47</v>
      </c>
      <c r="I662">
        <v>80.400000000000006</v>
      </c>
      <c r="J662">
        <v>0</v>
      </c>
      <c r="K662" s="5"/>
    </row>
    <row r="663" spans="1:13" x14ac:dyDescent="0.3">
      <c r="A663" t="s">
        <v>784</v>
      </c>
      <c r="B663" t="s">
        <v>41</v>
      </c>
      <c r="C663" t="s">
        <v>811</v>
      </c>
      <c r="D663" t="s">
        <v>697</v>
      </c>
      <c r="E663" t="s">
        <v>767</v>
      </c>
      <c r="F663" t="s">
        <v>767</v>
      </c>
      <c r="G663" t="s">
        <v>767</v>
      </c>
      <c r="H663">
        <v>27.788852800000001</v>
      </c>
      <c r="I663" s="7">
        <v>78.822970100000006</v>
      </c>
      <c r="J663">
        <v>0</v>
      </c>
      <c r="K663" s="5"/>
    </row>
    <row r="664" spans="1:13" x14ac:dyDescent="0.3">
      <c r="A664" t="s">
        <v>784</v>
      </c>
      <c r="B664" t="s">
        <v>41</v>
      </c>
      <c r="C664" t="s">
        <v>811</v>
      </c>
      <c r="D664" t="s">
        <v>698</v>
      </c>
      <c r="E664" t="s">
        <v>767</v>
      </c>
      <c r="F664" t="s">
        <v>767</v>
      </c>
      <c r="G664" t="s">
        <v>767</v>
      </c>
      <c r="H664">
        <v>25.35</v>
      </c>
      <c r="I664">
        <v>81.400000000000006</v>
      </c>
      <c r="J664">
        <v>0</v>
      </c>
      <c r="K664" s="5"/>
    </row>
    <row r="665" spans="1:13" x14ac:dyDescent="0.3">
      <c r="A665" t="s">
        <v>784</v>
      </c>
      <c r="B665" t="s">
        <v>41</v>
      </c>
      <c r="C665" t="s">
        <v>811</v>
      </c>
      <c r="D665" t="s">
        <v>699</v>
      </c>
      <c r="E665" t="s">
        <v>767</v>
      </c>
      <c r="F665" t="s">
        <v>767</v>
      </c>
      <c r="G665" t="s">
        <v>767</v>
      </c>
      <c r="H665">
        <v>28.116667</v>
      </c>
      <c r="I665" s="7">
        <v>80.716667000000001</v>
      </c>
      <c r="J665" t="s">
        <v>1216</v>
      </c>
      <c r="K665" s="5" t="s">
        <v>1001</v>
      </c>
      <c r="L665" t="s">
        <v>811</v>
      </c>
      <c r="M665">
        <f>IF(L665=C665,1,0)</f>
        <v>1</v>
      </c>
    </row>
    <row r="666" spans="1:13" x14ac:dyDescent="0.3">
      <c r="A666" t="s">
        <v>784</v>
      </c>
      <c r="B666" t="s">
        <v>41</v>
      </c>
      <c r="C666" t="s">
        <v>811</v>
      </c>
      <c r="D666" t="s">
        <v>700</v>
      </c>
      <c r="E666" t="s">
        <v>767</v>
      </c>
      <c r="F666" t="s">
        <v>767</v>
      </c>
      <c r="G666" t="s">
        <v>767</v>
      </c>
      <c r="H666">
        <v>26.9</v>
      </c>
      <c r="I666">
        <v>81.22</v>
      </c>
      <c r="J666">
        <v>0</v>
      </c>
      <c r="K666" s="5"/>
    </row>
    <row r="667" spans="1:13" x14ac:dyDescent="0.3">
      <c r="A667" t="s">
        <v>784</v>
      </c>
      <c r="B667" t="s">
        <v>41</v>
      </c>
      <c r="C667" t="s">
        <v>811</v>
      </c>
      <c r="D667" t="s">
        <v>701</v>
      </c>
      <c r="E667" t="s">
        <v>767</v>
      </c>
      <c r="F667" t="s">
        <v>767</v>
      </c>
      <c r="G667" t="s">
        <v>767</v>
      </c>
      <c r="H667">
        <v>24.37</v>
      </c>
      <c r="I667">
        <v>78.47</v>
      </c>
      <c r="J667">
        <v>0</v>
      </c>
      <c r="K667" s="5"/>
    </row>
    <row r="668" spans="1:13" x14ac:dyDescent="0.3">
      <c r="A668" t="s">
        <v>784</v>
      </c>
      <c r="B668" t="s">
        <v>41</v>
      </c>
      <c r="C668" t="s">
        <v>811</v>
      </c>
      <c r="D668" t="s">
        <v>702</v>
      </c>
      <c r="E668" t="s">
        <v>767</v>
      </c>
      <c r="F668" t="s">
        <v>767</v>
      </c>
      <c r="G668" t="s">
        <v>767</v>
      </c>
      <c r="H668">
        <v>26.92</v>
      </c>
      <c r="I668">
        <v>80.98</v>
      </c>
      <c r="J668" t="s">
        <v>1217</v>
      </c>
      <c r="K668" s="5" t="s">
        <v>1002</v>
      </c>
      <c r="L668" t="s">
        <v>811</v>
      </c>
      <c r="M668">
        <f>IF(L668=C668,1,0)</f>
        <v>1</v>
      </c>
    </row>
    <row r="669" spans="1:13" x14ac:dyDescent="0.3">
      <c r="A669" t="s">
        <v>784</v>
      </c>
      <c r="B669" t="s">
        <v>41</v>
      </c>
      <c r="C669" t="s">
        <v>811</v>
      </c>
      <c r="D669" t="s">
        <v>703</v>
      </c>
      <c r="E669" t="s">
        <v>767</v>
      </c>
      <c r="F669" t="s">
        <v>767</v>
      </c>
      <c r="G669" t="s">
        <v>767</v>
      </c>
      <c r="H669">
        <v>27.12</v>
      </c>
      <c r="I669">
        <v>83.57</v>
      </c>
      <c r="J669">
        <v>0</v>
      </c>
      <c r="K669" s="5"/>
    </row>
    <row r="670" spans="1:13" x14ac:dyDescent="0.3">
      <c r="A670" t="s">
        <v>784</v>
      </c>
      <c r="B670" t="s">
        <v>41</v>
      </c>
      <c r="C670" t="s">
        <v>811</v>
      </c>
      <c r="D670" t="s">
        <v>704</v>
      </c>
      <c r="E670" t="s">
        <v>767</v>
      </c>
      <c r="F670" t="s">
        <v>767</v>
      </c>
      <c r="G670" t="s">
        <v>767</v>
      </c>
      <c r="H670">
        <v>25.3</v>
      </c>
      <c r="I670">
        <v>79.92</v>
      </c>
      <c r="J670">
        <v>0</v>
      </c>
      <c r="K670" s="5"/>
    </row>
    <row r="671" spans="1:13" x14ac:dyDescent="0.3">
      <c r="A671" t="s">
        <v>784</v>
      </c>
      <c r="B671" t="s">
        <v>41</v>
      </c>
      <c r="C671" t="s">
        <v>811</v>
      </c>
      <c r="D671" t="s">
        <v>705</v>
      </c>
      <c r="E671" t="s">
        <v>767</v>
      </c>
      <c r="F671" t="s">
        <v>767</v>
      </c>
      <c r="G671" t="s">
        <v>767</v>
      </c>
      <c r="H671">
        <v>27.23</v>
      </c>
      <c r="I671">
        <v>79.05</v>
      </c>
      <c r="J671" t="s">
        <v>1218</v>
      </c>
      <c r="K671" s="5" t="s">
        <v>1003</v>
      </c>
      <c r="L671" t="s">
        <v>811</v>
      </c>
      <c r="M671">
        <f>IF(L671=C671,1,0)</f>
        <v>1</v>
      </c>
    </row>
    <row r="672" spans="1:13" x14ac:dyDescent="0.3">
      <c r="A672" t="s">
        <v>784</v>
      </c>
      <c r="B672" t="s">
        <v>41</v>
      </c>
      <c r="C672" t="s">
        <v>811</v>
      </c>
      <c r="D672" t="s">
        <v>706</v>
      </c>
      <c r="E672" t="s">
        <v>767</v>
      </c>
      <c r="F672" t="s">
        <v>767</v>
      </c>
      <c r="G672" t="s">
        <v>767</v>
      </c>
      <c r="H672">
        <v>27.47</v>
      </c>
      <c r="I672">
        <v>77.73</v>
      </c>
      <c r="J672">
        <v>0</v>
      </c>
      <c r="K672" s="5"/>
    </row>
    <row r="673" spans="1:13" x14ac:dyDescent="0.3">
      <c r="A673" t="s">
        <v>784</v>
      </c>
      <c r="B673" t="s">
        <v>41</v>
      </c>
      <c r="C673" t="s">
        <v>811</v>
      </c>
      <c r="D673" t="s">
        <v>707</v>
      </c>
      <c r="E673" t="s">
        <v>767</v>
      </c>
      <c r="F673" t="s">
        <v>767</v>
      </c>
      <c r="G673" t="s">
        <v>767</v>
      </c>
      <c r="H673">
        <v>25.95</v>
      </c>
      <c r="I673">
        <v>83.6</v>
      </c>
      <c r="J673" t="s">
        <v>1217</v>
      </c>
      <c r="K673" s="5" t="s">
        <v>1002</v>
      </c>
      <c r="L673" t="s">
        <v>811</v>
      </c>
      <c r="M673">
        <f>IF(L673=C673,1,0)</f>
        <v>1</v>
      </c>
    </row>
    <row r="674" spans="1:13" x14ac:dyDescent="0.3">
      <c r="A674" t="s">
        <v>784</v>
      </c>
      <c r="B674" t="s">
        <v>41</v>
      </c>
      <c r="C674" t="s">
        <v>811</v>
      </c>
      <c r="D674" t="s">
        <v>708</v>
      </c>
      <c r="E674" t="s">
        <v>767</v>
      </c>
      <c r="F674" t="s">
        <v>767</v>
      </c>
      <c r="G674" t="s">
        <v>767</v>
      </c>
      <c r="H674">
        <v>29.02</v>
      </c>
      <c r="I674">
        <v>77.75</v>
      </c>
      <c r="J674" t="s">
        <v>1219</v>
      </c>
      <c r="K674" s="5" t="s">
        <v>1004</v>
      </c>
      <c r="L674" t="s">
        <v>811</v>
      </c>
      <c r="M674">
        <f>IF(L674=C674,1,0)</f>
        <v>1</v>
      </c>
    </row>
    <row r="675" spans="1:13" x14ac:dyDescent="0.3">
      <c r="A675" t="s">
        <v>784</v>
      </c>
      <c r="B675" t="s">
        <v>41</v>
      </c>
      <c r="C675" t="s">
        <v>811</v>
      </c>
      <c r="D675" t="s">
        <v>709</v>
      </c>
      <c r="E675" t="s">
        <v>767</v>
      </c>
      <c r="F675" t="s">
        <v>767</v>
      </c>
      <c r="G675" t="s">
        <v>767</v>
      </c>
      <c r="H675">
        <v>25.17</v>
      </c>
      <c r="I675">
        <v>82.62</v>
      </c>
      <c r="J675">
        <v>0</v>
      </c>
      <c r="K675" s="5"/>
    </row>
    <row r="676" spans="1:13" x14ac:dyDescent="0.3">
      <c r="A676" t="s">
        <v>784</v>
      </c>
      <c r="B676" t="s">
        <v>41</v>
      </c>
      <c r="C676" t="s">
        <v>811</v>
      </c>
      <c r="D676" t="s">
        <v>710</v>
      </c>
      <c r="E676" t="s">
        <v>767</v>
      </c>
      <c r="F676" t="s">
        <v>767</v>
      </c>
      <c r="G676" t="s">
        <v>767</v>
      </c>
      <c r="H676">
        <v>28.85</v>
      </c>
      <c r="I676">
        <v>78.819999999999993</v>
      </c>
      <c r="J676" t="s">
        <v>1220</v>
      </c>
      <c r="K676" s="5" t="s">
        <v>1005</v>
      </c>
      <c r="L676" t="s">
        <v>811</v>
      </c>
      <c r="M676">
        <f>IF(L676=C676,1,0)</f>
        <v>1</v>
      </c>
    </row>
    <row r="677" spans="1:13" x14ac:dyDescent="0.3">
      <c r="A677" t="s">
        <v>784</v>
      </c>
      <c r="B677" t="s">
        <v>41</v>
      </c>
      <c r="C677" t="s">
        <v>811</v>
      </c>
      <c r="D677" t="s">
        <v>711</v>
      </c>
      <c r="E677" t="s">
        <v>767</v>
      </c>
      <c r="F677" t="s">
        <v>767</v>
      </c>
      <c r="G677" t="s">
        <v>767</v>
      </c>
      <c r="H677">
        <v>29.47</v>
      </c>
      <c r="I677">
        <v>77.73</v>
      </c>
      <c r="J677">
        <v>0</v>
      </c>
      <c r="K677" s="5"/>
    </row>
    <row r="678" spans="1:13" x14ac:dyDescent="0.3">
      <c r="A678" t="s">
        <v>784</v>
      </c>
      <c r="B678" t="s">
        <v>41</v>
      </c>
      <c r="C678" t="s">
        <v>811</v>
      </c>
      <c r="D678" t="s">
        <v>712</v>
      </c>
      <c r="E678" t="s">
        <v>767</v>
      </c>
      <c r="F678" t="s">
        <v>767</v>
      </c>
      <c r="G678" t="s">
        <v>767</v>
      </c>
      <c r="H678">
        <v>28.63</v>
      </c>
      <c r="I678">
        <v>79.849999999999994</v>
      </c>
      <c r="J678">
        <v>0</v>
      </c>
      <c r="K678" s="5"/>
    </row>
    <row r="679" spans="1:13" x14ac:dyDescent="0.3">
      <c r="A679" t="s">
        <v>784</v>
      </c>
      <c r="B679" t="s">
        <v>41</v>
      </c>
      <c r="C679" t="s">
        <v>811</v>
      </c>
      <c r="D679" t="s">
        <v>568</v>
      </c>
      <c r="E679" t="s">
        <v>767</v>
      </c>
      <c r="F679" t="s">
        <v>767</v>
      </c>
      <c r="G679" t="s">
        <v>767</v>
      </c>
      <c r="H679">
        <v>25.57</v>
      </c>
      <c r="I679">
        <v>81.98</v>
      </c>
      <c r="J679">
        <v>0</v>
      </c>
      <c r="K679" s="5"/>
    </row>
    <row r="680" spans="1:13" x14ac:dyDescent="0.3">
      <c r="A680" t="s">
        <v>784</v>
      </c>
      <c r="B680" t="s">
        <v>41</v>
      </c>
      <c r="C680" t="s">
        <v>811</v>
      </c>
      <c r="D680" t="s">
        <v>713</v>
      </c>
      <c r="E680" t="s">
        <v>767</v>
      </c>
      <c r="F680" t="s">
        <v>767</v>
      </c>
      <c r="G680" t="s">
        <v>767</v>
      </c>
      <c r="H680">
        <v>25.4381302</v>
      </c>
      <c r="I680" s="7">
        <v>81.833800499999995</v>
      </c>
      <c r="J680">
        <v>0</v>
      </c>
      <c r="K680" s="5"/>
    </row>
    <row r="681" spans="1:13" x14ac:dyDescent="0.3">
      <c r="A681" t="s">
        <v>784</v>
      </c>
      <c r="B681" t="s">
        <v>41</v>
      </c>
      <c r="C681" t="s">
        <v>811</v>
      </c>
      <c r="D681" t="s">
        <v>714</v>
      </c>
      <c r="E681" t="s">
        <v>767</v>
      </c>
      <c r="F681" t="s">
        <v>767</v>
      </c>
      <c r="G681" t="s">
        <v>767</v>
      </c>
      <c r="H681">
        <v>26.23</v>
      </c>
      <c r="I681">
        <v>81.27</v>
      </c>
      <c r="J681">
        <v>0</v>
      </c>
      <c r="K681" s="5"/>
    </row>
    <row r="682" spans="1:13" x14ac:dyDescent="0.3">
      <c r="A682" t="s">
        <v>784</v>
      </c>
      <c r="B682" t="s">
        <v>41</v>
      </c>
      <c r="C682" t="s">
        <v>811</v>
      </c>
      <c r="D682" t="s">
        <v>715</v>
      </c>
      <c r="E682" t="s">
        <v>767</v>
      </c>
      <c r="F682" t="s">
        <v>767</v>
      </c>
      <c r="G682" t="s">
        <v>767</v>
      </c>
      <c r="H682">
        <v>28.8</v>
      </c>
      <c r="I682">
        <v>79.08</v>
      </c>
      <c r="J682">
        <v>0</v>
      </c>
      <c r="K682" s="5"/>
    </row>
    <row r="683" spans="1:13" x14ac:dyDescent="0.3">
      <c r="A683" t="s">
        <v>784</v>
      </c>
      <c r="B683" t="s">
        <v>41</v>
      </c>
      <c r="C683" t="s">
        <v>811</v>
      </c>
      <c r="D683" t="s">
        <v>716</v>
      </c>
      <c r="E683" t="s">
        <v>767</v>
      </c>
      <c r="F683" t="s">
        <v>767</v>
      </c>
      <c r="G683" t="s">
        <v>767</v>
      </c>
      <c r="H683">
        <v>29.97</v>
      </c>
      <c r="I683">
        <v>77.38</v>
      </c>
      <c r="J683">
        <v>0</v>
      </c>
      <c r="K683" s="5"/>
    </row>
    <row r="684" spans="1:13" x14ac:dyDescent="0.3">
      <c r="A684" t="s">
        <v>784</v>
      </c>
      <c r="B684" t="s">
        <v>41</v>
      </c>
      <c r="C684" t="s">
        <v>811</v>
      </c>
      <c r="D684" t="s">
        <v>717</v>
      </c>
      <c r="E684" t="s">
        <v>767</v>
      </c>
      <c r="F684" t="s">
        <v>767</v>
      </c>
      <c r="G684" t="s">
        <v>767</v>
      </c>
      <c r="H684">
        <v>28.4271928</v>
      </c>
      <c r="I684" s="7">
        <v>78.556454599999995</v>
      </c>
      <c r="J684">
        <v>0</v>
      </c>
      <c r="K684" s="5"/>
    </row>
    <row r="685" spans="1:13" x14ac:dyDescent="0.3">
      <c r="A685" t="s">
        <v>784</v>
      </c>
      <c r="B685" t="s">
        <v>41</v>
      </c>
      <c r="C685" t="s">
        <v>811</v>
      </c>
      <c r="D685" t="s">
        <v>718</v>
      </c>
      <c r="E685" t="s">
        <v>767</v>
      </c>
      <c r="F685" t="s">
        <v>767</v>
      </c>
      <c r="G685" t="s">
        <v>767</v>
      </c>
      <c r="H685">
        <v>26.77</v>
      </c>
      <c r="I685">
        <v>83.07</v>
      </c>
      <c r="J685">
        <v>0</v>
      </c>
      <c r="K685" s="5"/>
    </row>
    <row r="686" spans="1:13" x14ac:dyDescent="0.3">
      <c r="A686" t="s">
        <v>784</v>
      </c>
      <c r="B686" t="s">
        <v>41</v>
      </c>
      <c r="C686" t="s">
        <v>811</v>
      </c>
      <c r="D686" t="s">
        <v>719</v>
      </c>
      <c r="E686" t="s">
        <v>767</v>
      </c>
      <c r="F686" t="s">
        <v>767</v>
      </c>
      <c r="G686" t="s">
        <v>767</v>
      </c>
      <c r="H686">
        <v>27.9</v>
      </c>
      <c r="I686">
        <v>79.95</v>
      </c>
      <c r="J686" t="s">
        <v>1221</v>
      </c>
      <c r="K686" s="5" t="s">
        <v>1006</v>
      </c>
      <c r="L686" t="s">
        <v>811</v>
      </c>
      <c r="M686">
        <f>IF(L686=C686,1,0)</f>
        <v>1</v>
      </c>
    </row>
    <row r="687" spans="1:13" x14ac:dyDescent="0.3">
      <c r="A687" t="s">
        <v>784</v>
      </c>
      <c r="B687" t="s">
        <v>41</v>
      </c>
      <c r="C687" t="s">
        <v>811</v>
      </c>
      <c r="D687" t="s">
        <v>720</v>
      </c>
      <c r="E687" t="s">
        <v>767</v>
      </c>
      <c r="F687" t="s">
        <v>767</v>
      </c>
      <c r="G687" t="s">
        <v>767</v>
      </c>
      <c r="H687">
        <v>29.481150800000002</v>
      </c>
      <c r="I687" s="7">
        <v>77.290134399999999</v>
      </c>
      <c r="J687">
        <v>0</v>
      </c>
      <c r="K687" s="5"/>
    </row>
    <row r="688" spans="1:13" x14ac:dyDescent="0.3">
      <c r="A688" t="s">
        <v>784</v>
      </c>
      <c r="B688" t="s">
        <v>41</v>
      </c>
      <c r="C688" t="s">
        <v>811</v>
      </c>
      <c r="D688" t="s">
        <v>721</v>
      </c>
      <c r="E688" t="s">
        <v>767</v>
      </c>
      <c r="F688" t="s">
        <v>767</v>
      </c>
      <c r="G688" t="s">
        <v>767</v>
      </c>
      <c r="H688">
        <v>27.92</v>
      </c>
      <c r="I688">
        <v>82.62</v>
      </c>
      <c r="J688">
        <v>0</v>
      </c>
      <c r="K688" s="5"/>
    </row>
    <row r="689" spans="1:13" x14ac:dyDescent="0.3">
      <c r="A689" t="s">
        <v>784</v>
      </c>
      <c r="B689" t="s">
        <v>41</v>
      </c>
      <c r="C689" t="s">
        <v>811</v>
      </c>
      <c r="D689" t="s">
        <v>722</v>
      </c>
      <c r="E689" t="s">
        <v>767</v>
      </c>
      <c r="F689" t="s">
        <v>767</v>
      </c>
      <c r="G689" t="s">
        <v>767</v>
      </c>
      <c r="H689">
        <v>27.3</v>
      </c>
      <c r="I689">
        <v>83.1</v>
      </c>
      <c r="J689">
        <v>0</v>
      </c>
      <c r="K689" s="5"/>
    </row>
    <row r="690" spans="1:13" x14ac:dyDescent="0.3">
      <c r="A690" t="s">
        <v>784</v>
      </c>
      <c r="B690" t="s">
        <v>41</v>
      </c>
      <c r="C690" t="s">
        <v>811</v>
      </c>
      <c r="D690" t="s">
        <v>723</v>
      </c>
      <c r="E690" t="s">
        <v>767</v>
      </c>
      <c r="F690" t="s">
        <v>767</v>
      </c>
      <c r="G690" t="s">
        <v>767</v>
      </c>
      <c r="H690">
        <v>27.12</v>
      </c>
      <c r="I690">
        <v>79.95</v>
      </c>
      <c r="J690">
        <v>0</v>
      </c>
      <c r="K690" s="5"/>
    </row>
    <row r="691" spans="1:13" x14ac:dyDescent="0.3">
      <c r="A691" t="s">
        <v>784</v>
      </c>
      <c r="B691" t="s">
        <v>41</v>
      </c>
      <c r="C691" t="s">
        <v>811</v>
      </c>
      <c r="D691" t="s">
        <v>724</v>
      </c>
      <c r="E691" t="s">
        <v>767</v>
      </c>
      <c r="F691" t="s">
        <v>767</v>
      </c>
      <c r="G691" t="s">
        <v>767</v>
      </c>
      <c r="H691">
        <v>24.7</v>
      </c>
      <c r="I691">
        <v>83.07</v>
      </c>
      <c r="J691">
        <v>0</v>
      </c>
      <c r="K691" s="5"/>
    </row>
    <row r="692" spans="1:13" x14ac:dyDescent="0.3">
      <c r="A692" t="s">
        <v>784</v>
      </c>
      <c r="B692" t="s">
        <v>41</v>
      </c>
      <c r="C692" t="s">
        <v>811</v>
      </c>
      <c r="D692" t="s">
        <v>725</v>
      </c>
      <c r="E692" t="s">
        <v>767</v>
      </c>
      <c r="F692" t="s">
        <v>767</v>
      </c>
      <c r="G692" t="s">
        <v>767</v>
      </c>
      <c r="H692">
        <v>26.27</v>
      </c>
      <c r="I692">
        <v>82.07</v>
      </c>
      <c r="J692" t="s">
        <v>1222</v>
      </c>
      <c r="K692" s="5" t="s">
        <v>1007</v>
      </c>
      <c r="L692" t="s">
        <v>811</v>
      </c>
      <c r="M692">
        <f>IF(L692=C692,1,0)</f>
        <v>1</v>
      </c>
    </row>
    <row r="693" spans="1:13" x14ac:dyDescent="0.3">
      <c r="A693" t="s">
        <v>784</v>
      </c>
      <c r="B693" t="s">
        <v>41</v>
      </c>
      <c r="C693" t="s">
        <v>811</v>
      </c>
      <c r="D693" t="s">
        <v>726</v>
      </c>
      <c r="E693" t="s">
        <v>767</v>
      </c>
      <c r="F693" t="s">
        <v>767</v>
      </c>
      <c r="G693" t="s">
        <v>767</v>
      </c>
      <c r="H693">
        <v>26.8</v>
      </c>
      <c r="I693">
        <v>80.72</v>
      </c>
      <c r="J693">
        <v>0</v>
      </c>
      <c r="K693" s="5"/>
    </row>
    <row r="694" spans="1:13" x14ac:dyDescent="0.3">
      <c r="A694" t="s">
        <v>784</v>
      </c>
      <c r="B694" t="s">
        <v>41</v>
      </c>
      <c r="C694" t="s">
        <v>811</v>
      </c>
      <c r="D694" t="s">
        <v>727</v>
      </c>
      <c r="E694" t="s">
        <v>767</v>
      </c>
      <c r="F694" t="s">
        <v>767</v>
      </c>
      <c r="G694" t="s">
        <v>767</v>
      </c>
      <c r="H694">
        <v>25.33</v>
      </c>
      <c r="I694">
        <v>83</v>
      </c>
      <c r="J694" t="s">
        <v>1223</v>
      </c>
      <c r="K694" s="5" t="s">
        <v>1008</v>
      </c>
      <c r="L694" t="s">
        <v>811</v>
      </c>
      <c r="M694">
        <f>IF(L694=C694,1,0)</f>
        <v>1</v>
      </c>
    </row>
    <row r="695" spans="1:13" x14ac:dyDescent="0.3">
      <c r="A695" t="s">
        <v>784</v>
      </c>
      <c r="B695" t="s">
        <v>42</v>
      </c>
      <c r="C695" t="s">
        <v>812</v>
      </c>
      <c r="D695" t="s">
        <v>728</v>
      </c>
      <c r="E695" t="s">
        <v>766</v>
      </c>
      <c r="F695" t="s">
        <v>766</v>
      </c>
      <c r="G695" t="s">
        <v>766</v>
      </c>
      <c r="H695">
        <v>29.62</v>
      </c>
      <c r="I695">
        <v>79.650000000000006</v>
      </c>
      <c r="J695">
        <v>0</v>
      </c>
      <c r="K695" s="5"/>
    </row>
    <row r="696" spans="1:13" x14ac:dyDescent="0.3">
      <c r="A696" t="s">
        <v>784</v>
      </c>
      <c r="B696" t="s">
        <v>42</v>
      </c>
      <c r="C696" t="s">
        <v>812</v>
      </c>
      <c r="D696" t="s">
        <v>729</v>
      </c>
      <c r="E696" t="s">
        <v>766</v>
      </c>
      <c r="F696" t="s">
        <v>766</v>
      </c>
      <c r="G696" t="s">
        <v>766</v>
      </c>
      <c r="H696">
        <v>29.85</v>
      </c>
      <c r="I696">
        <v>79.77</v>
      </c>
      <c r="J696">
        <v>0</v>
      </c>
      <c r="K696" s="5"/>
    </row>
    <row r="697" spans="1:13" x14ac:dyDescent="0.3">
      <c r="A697" t="s">
        <v>784</v>
      </c>
      <c r="B697" t="s">
        <v>42</v>
      </c>
      <c r="C697" t="s">
        <v>812</v>
      </c>
      <c r="D697" t="s">
        <v>730</v>
      </c>
      <c r="E697" t="s">
        <v>766</v>
      </c>
      <c r="F697" t="s">
        <v>766</v>
      </c>
      <c r="G697" t="s">
        <v>766</v>
      </c>
      <c r="H697">
        <v>30.4</v>
      </c>
      <c r="I697">
        <v>79.349999999999994</v>
      </c>
      <c r="J697" t="s">
        <v>1224</v>
      </c>
      <c r="K697" s="5" t="s">
        <v>1009</v>
      </c>
      <c r="L697" t="s">
        <v>812</v>
      </c>
      <c r="M697">
        <f>IF(L697=C697,1,0)</f>
        <v>1</v>
      </c>
    </row>
    <row r="698" spans="1:13" x14ac:dyDescent="0.3">
      <c r="A698" t="s">
        <v>784</v>
      </c>
      <c r="B698" t="s">
        <v>42</v>
      </c>
      <c r="C698" t="s">
        <v>812</v>
      </c>
      <c r="D698" t="s">
        <v>731</v>
      </c>
      <c r="E698" t="s">
        <v>766</v>
      </c>
      <c r="F698" t="s">
        <v>766</v>
      </c>
      <c r="G698" t="s">
        <v>766</v>
      </c>
      <c r="H698">
        <v>26.32</v>
      </c>
      <c r="I698">
        <v>80.099999999999994</v>
      </c>
      <c r="J698">
        <v>0</v>
      </c>
      <c r="K698" s="5"/>
    </row>
    <row r="699" spans="1:13" x14ac:dyDescent="0.3">
      <c r="A699" t="s">
        <v>784</v>
      </c>
      <c r="B699" t="s">
        <v>42</v>
      </c>
      <c r="C699" t="s">
        <v>812</v>
      </c>
      <c r="D699" t="s">
        <v>732</v>
      </c>
      <c r="E699" t="s">
        <v>767</v>
      </c>
      <c r="F699" t="s">
        <v>767</v>
      </c>
      <c r="G699" t="s">
        <v>767</v>
      </c>
      <c r="H699">
        <v>30.32</v>
      </c>
      <c r="I699">
        <v>79.349999999999994</v>
      </c>
      <c r="J699" t="s">
        <v>1225</v>
      </c>
      <c r="K699" s="5" t="s">
        <v>1010</v>
      </c>
      <c r="L699" t="s">
        <v>812</v>
      </c>
      <c r="M699">
        <f>IF(L699=C699,1,0)</f>
        <v>1</v>
      </c>
    </row>
    <row r="700" spans="1:13" x14ac:dyDescent="0.3">
      <c r="A700" t="s">
        <v>784</v>
      </c>
      <c r="B700" t="s">
        <v>42</v>
      </c>
      <c r="C700" t="s">
        <v>812</v>
      </c>
      <c r="D700" t="s">
        <v>733</v>
      </c>
      <c r="E700" t="s">
        <v>767</v>
      </c>
      <c r="F700" t="s">
        <v>767</v>
      </c>
      <c r="G700" t="s">
        <v>767</v>
      </c>
      <c r="H700">
        <v>30.32</v>
      </c>
      <c r="I700">
        <v>78.02</v>
      </c>
      <c r="J700">
        <v>0</v>
      </c>
      <c r="K700" s="5"/>
    </row>
    <row r="701" spans="1:13" x14ac:dyDescent="0.3">
      <c r="A701" t="s">
        <v>784</v>
      </c>
      <c r="B701" t="s">
        <v>42</v>
      </c>
      <c r="C701" t="s">
        <v>812</v>
      </c>
      <c r="D701" t="s">
        <v>734</v>
      </c>
      <c r="E701" t="s">
        <v>767</v>
      </c>
      <c r="F701" t="s">
        <v>767</v>
      </c>
      <c r="G701" t="s">
        <v>767</v>
      </c>
      <c r="H701">
        <v>29.37</v>
      </c>
      <c r="I701">
        <v>79.45</v>
      </c>
      <c r="J701">
        <v>0</v>
      </c>
      <c r="K701" s="5"/>
    </row>
    <row r="702" spans="1:13" x14ac:dyDescent="0.3">
      <c r="A702" t="s">
        <v>784</v>
      </c>
      <c r="B702" t="s">
        <v>42</v>
      </c>
      <c r="C702" t="s">
        <v>812</v>
      </c>
      <c r="D702" t="s">
        <v>735</v>
      </c>
      <c r="E702" t="s">
        <v>767</v>
      </c>
      <c r="F702" t="s">
        <v>767</v>
      </c>
      <c r="G702" t="s">
        <v>767</v>
      </c>
      <c r="H702">
        <v>30.15</v>
      </c>
      <c r="I702">
        <v>78.77</v>
      </c>
      <c r="J702">
        <v>0</v>
      </c>
      <c r="K702" s="5"/>
    </row>
    <row r="703" spans="1:13" x14ac:dyDescent="0.3">
      <c r="A703" t="s">
        <v>784</v>
      </c>
      <c r="B703" t="s">
        <v>42</v>
      </c>
      <c r="C703" t="s">
        <v>812</v>
      </c>
      <c r="D703" t="s">
        <v>736</v>
      </c>
      <c r="E703" t="s">
        <v>766</v>
      </c>
      <c r="F703" t="s">
        <v>766</v>
      </c>
      <c r="G703" t="s">
        <v>766</v>
      </c>
      <c r="H703">
        <v>29.57</v>
      </c>
      <c r="I703">
        <v>80.22</v>
      </c>
      <c r="J703">
        <v>0</v>
      </c>
      <c r="K703" s="5"/>
    </row>
    <row r="704" spans="1:13" x14ac:dyDescent="0.3">
      <c r="A704" t="s">
        <v>784</v>
      </c>
      <c r="B704" t="s">
        <v>42</v>
      </c>
      <c r="C704" t="s">
        <v>812</v>
      </c>
      <c r="D704" t="s">
        <v>737</v>
      </c>
      <c r="E704" t="s">
        <v>766</v>
      </c>
      <c r="F704" t="s">
        <v>766</v>
      </c>
      <c r="G704" t="s">
        <v>766</v>
      </c>
      <c r="H704">
        <v>30.27</v>
      </c>
      <c r="I704">
        <v>78.97</v>
      </c>
      <c r="J704">
        <v>0</v>
      </c>
      <c r="K704" s="5"/>
    </row>
    <row r="705" spans="1:13" x14ac:dyDescent="0.3">
      <c r="A705" t="s">
        <v>784</v>
      </c>
      <c r="B705" t="s">
        <v>42</v>
      </c>
      <c r="C705" t="s">
        <v>812</v>
      </c>
      <c r="D705" t="s">
        <v>738</v>
      </c>
      <c r="E705" t="s">
        <v>782</v>
      </c>
      <c r="F705" t="s">
        <v>766</v>
      </c>
      <c r="G705" t="s">
        <v>782</v>
      </c>
      <c r="H705">
        <v>30.37</v>
      </c>
      <c r="I705">
        <v>78.47</v>
      </c>
      <c r="J705" t="s">
        <v>1226</v>
      </c>
      <c r="K705" s="5" t="s">
        <v>1011</v>
      </c>
      <c r="L705" t="s">
        <v>812</v>
      </c>
      <c r="M705">
        <f>IF(L705=C705,1,0)</f>
        <v>1</v>
      </c>
    </row>
    <row r="706" spans="1:13" x14ac:dyDescent="0.3">
      <c r="A706" t="s">
        <v>784</v>
      </c>
      <c r="B706" t="s">
        <v>42</v>
      </c>
      <c r="C706" t="s">
        <v>812</v>
      </c>
      <c r="D706" t="s">
        <v>739</v>
      </c>
      <c r="E706" t="s">
        <v>767</v>
      </c>
      <c r="F706" t="s">
        <v>767</v>
      </c>
      <c r="G706" t="s">
        <v>767</v>
      </c>
      <c r="H706">
        <v>30</v>
      </c>
      <c r="I706">
        <v>79.349999999999994</v>
      </c>
      <c r="J706">
        <v>0</v>
      </c>
      <c r="K706" s="5"/>
    </row>
    <row r="707" spans="1:13" x14ac:dyDescent="0.3">
      <c r="A707" t="s">
        <v>784</v>
      </c>
      <c r="B707" t="s">
        <v>42</v>
      </c>
      <c r="C707" t="s">
        <v>812</v>
      </c>
      <c r="D707" t="s">
        <v>740</v>
      </c>
      <c r="E707" t="s">
        <v>766</v>
      </c>
      <c r="F707" t="s">
        <v>766</v>
      </c>
      <c r="G707" t="s">
        <v>766</v>
      </c>
      <c r="H707">
        <v>30.72</v>
      </c>
      <c r="I707">
        <v>78.45</v>
      </c>
      <c r="J707">
        <v>0</v>
      </c>
      <c r="K707" s="5"/>
    </row>
    <row r="708" spans="1:13" x14ac:dyDescent="0.3">
      <c r="A708" t="s">
        <v>784</v>
      </c>
      <c r="B708" t="s">
        <v>43</v>
      </c>
      <c r="C708" t="s">
        <v>813</v>
      </c>
      <c r="D708" t="s">
        <v>741</v>
      </c>
      <c r="E708" t="s">
        <v>764</v>
      </c>
      <c r="F708" t="s">
        <v>764</v>
      </c>
      <c r="G708" t="s">
        <v>764</v>
      </c>
      <c r="H708">
        <v>26.485157300000001</v>
      </c>
      <c r="I708" s="7">
        <v>89.524692599999995</v>
      </c>
      <c r="J708">
        <v>0</v>
      </c>
      <c r="K708" s="5"/>
    </row>
    <row r="709" spans="1:13" x14ac:dyDescent="0.3">
      <c r="A709" t="s">
        <v>784</v>
      </c>
      <c r="B709" t="s">
        <v>43</v>
      </c>
      <c r="C709" t="s">
        <v>813</v>
      </c>
      <c r="D709" t="s">
        <v>742</v>
      </c>
      <c r="E709" t="s">
        <v>764</v>
      </c>
      <c r="F709" t="s">
        <v>764</v>
      </c>
      <c r="G709" t="s">
        <v>764</v>
      </c>
      <c r="H709">
        <v>23.23</v>
      </c>
      <c r="I709">
        <v>87.12</v>
      </c>
      <c r="J709" t="s">
        <v>1227</v>
      </c>
      <c r="K709" s="5" t="s">
        <v>1012</v>
      </c>
      <c r="L709" t="s">
        <v>813</v>
      </c>
      <c r="M709">
        <f>IF(L709=C709,1,0)</f>
        <v>1</v>
      </c>
    </row>
    <row r="710" spans="1:13" x14ac:dyDescent="0.3">
      <c r="A710" t="s">
        <v>784</v>
      </c>
      <c r="B710" t="s">
        <v>43</v>
      </c>
      <c r="C710" t="s">
        <v>813</v>
      </c>
      <c r="D710" t="s">
        <v>743</v>
      </c>
      <c r="E710" t="s">
        <v>764</v>
      </c>
      <c r="F710" t="s">
        <v>764</v>
      </c>
      <c r="G710" t="s">
        <v>764</v>
      </c>
      <c r="H710">
        <v>24</v>
      </c>
      <c r="I710">
        <v>87.57</v>
      </c>
      <c r="J710">
        <v>0</v>
      </c>
      <c r="K710" s="5"/>
    </row>
    <row r="711" spans="1:13" x14ac:dyDescent="0.3">
      <c r="A711" t="s">
        <v>784</v>
      </c>
      <c r="B711" t="s">
        <v>43</v>
      </c>
      <c r="C711" t="s">
        <v>813</v>
      </c>
      <c r="D711" t="s">
        <v>744</v>
      </c>
      <c r="E711" t="s">
        <v>764</v>
      </c>
      <c r="F711" t="s">
        <v>764</v>
      </c>
      <c r="G711" t="s">
        <v>764</v>
      </c>
      <c r="H711">
        <v>26.32</v>
      </c>
      <c r="I711">
        <v>89.42</v>
      </c>
      <c r="J711" t="s">
        <v>1228</v>
      </c>
      <c r="K711" s="5" t="s">
        <v>1013</v>
      </c>
      <c r="L711" t="s">
        <v>813</v>
      </c>
      <c r="M711">
        <f>IF(L711=C711,1,0)</f>
        <v>1</v>
      </c>
    </row>
    <row r="712" spans="1:13" x14ac:dyDescent="0.3">
      <c r="A712" t="s">
        <v>784</v>
      </c>
      <c r="B712" t="s">
        <v>43</v>
      </c>
      <c r="C712" t="s">
        <v>813</v>
      </c>
      <c r="D712" t="s">
        <v>745</v>
      </c>
      <c r="E712" t="s">
        <v>764</v>
      </c>
      <c r="F712" t="s">
        <v>764</v>
      </c>
      <c r="G712" t="s">
        <v>764</v>
      </c>
      <c r="H712">
        <v>25.22</v>
      </c>
      <c r="I712">
        <v>88.77</v>
      </c>
      <c r="J712">
        <v>0</v>
      </c>
      <c r="K712" s="5"/>
    </row>
    <row r="713" spans="1:13" x14ac:dyDescent="0.3">
      <c r="A713" t="s">
        <v>784</v>
      </c>
      <c r="B713" t="s">
        <v>43</v>
      </c>
      <c r="C713" t="s">
        <v>813</v>
      </c>
      <c r="D713" t="s">
        <v>746</v>
      </c>
      <c r="E713" t="s">
        <v>764</v>
      </c>
      <c r="F713" t="s">
        <v>764</v>
      </c>
      <c r="G713" t="s">
        <v>764</v>
      </c>
      <c r="H713">
        <v>27.05</v>
      </c>
      <c r="I713">
        <v>88.3</v>
      </c>
      <c r="J713" t="s">
        <v>1229</v>
      </c>
      <c r="K713" s="5" t="s">
        <v>1014</v>
      </c>
      <c r="L713" t="s">
        <v>813</v>
      </c>
      <c r="M713">
        <f>IF(L713=C713,1,0)</f>
        <v>1</v>
      </c>
    </row>
    <row r="714" spans="1:13" x14ac:dyDescent="0.3">
      <c r="A714" t="s">
        <v>784</v>
      </c>
      <c r="B714" t="s">
        <v>43</v>
      </c>
      <c r="C714" t="s">
        <v>813</v>
      </c>
      <c r="D714" t="s">
        <v>747</v>
      </c>
      <c r="E714" t="s">
        <v>764</v>
      </c>
      <c r="F714" t="s">
        <v>764</v>
      </c>
      <c r="G714" t="s">
        <v>764</v>
      </c>
      <c r="H714">
        <v>22.88</v>
      </c>
      <c r="I714">
        <v>88.4</v>
      </c>
      <c r="J714">
        <v>0</v>
      </c>
      <c r="K714" s="5"/>
    </row>
    <row r="715" spans="1:13" x14ac:dyDescent="0.3">
      <c r="A715" t="s">
        <v>784</v>
      </c>
      <c r="B715" t="s">
        <v>43</v>
      </c>
      <c r="C715" t="s">
        <v>813</v>
      </c>
      <c r="D715" t="s">
        <v>748</v>
      </c>
      <c r="E715" t="s">
        <v>764</v>
      </c>
      <c r="F715" t="s">
        <v>764</v>
      </c>
      <c r="G715" t="s">
        <v>764</v>
      </c>
      <c r="H715">
        <v>22.58</v>
      </c>
      <c r="I715">
        <v>88.3</v>
      </c>
      <c r="J715">
        <v>0</v>
      </c>
      <c r="K715" s="5"/>
    </row>
    <row r="716" spans="1:13" x14ac:dyDescent="0.3">
      <c r="A716" t="s">
        <v>784</v>
      </c>
      <c r="B716" t="s">
        <v>43</v>
      </c>
      <c r="C716" t="s">
        <v>813</v>
      </c>
      <c r="D716" t="s">
        <v>749</v>
      </c>
      <c r="E716" t="s">
        <v>764</v>
      </c>
      <c r="F716" t="s">
        <v>764</v>
      </c>
      <c r="G716" t="s">
        <v>764</v>
      </c>
      <c r="H716">
        <v>26.53</v>
      </c>
      <c r="I716">
        <v>88.3</v>
      </c>
      <c r="J716" t="s">
        <v>1230</v>
      </c>
      <c r="K716" s="5" t="s">
        <v>1015</v>
      </c>
      <c r="L716" t="s">
        <v>813</v>
      </c>
      <c r="M716">
        <f>IF(L716=C716,1,0)</f>
        <v>1</v>
      </c>
    </row>
    <row r="717" spans="1:13" x14ac:dyDescent="0.3">
      <c r="A717" t="s">
        <v>784</v>
      </c>
      <c r="B717" t="s">
        <v>43</v>
      </c>
      <c r="C717" t="s">
        <v>813</v>
      </c>
      <c r="D717" t="s">
        <v>750</v>
      </c>
      <c r="E717" t="s">
        <v>764</v>
      </c>
      <c r="F717" t="s">
        <v>764</v>
      </c>
      <c r="G717" t="s">
        <v>764</v>
      </c>
      <c r="H717">
        <v>22.453850500000001</v>
      </c>
      <c r="I717" s="7">
        <v>86.994947699999997</v>
      </c>
      <c r="J717">
        <v>0</v>
      </c>
      <c r="K717" s="5"/>
    </row>
    <row r="718" spans="1:13" x14ac:dyDescent="0.3">
      <c r="A718" t="s">
        <v>784</v>
      </c>
      <c r="B718" t="s">
        <v>43</v>
      </c>
      <c r="C718" t="s">
        <v>813</v>
      </c>
      <c r="D718" t="s">
        <v>751</v>
      </c>
      <c r="E718" t="s">
        <v>764</v>
      </c>
      <c r="F718" t="s">
        <v>764</v>
      </c>
      <c r="G718" t="s">
        <v>764</v>
      </c>
      <c r="H718">
        <v>27.070286899999999</v>
      </c>
      <c r="I718" s="7">
        <v>88.472367599999998</v>
      </c>
      <c r="J718" t="s">
        <v>1231</v>
      </c>
      <c r="K718" s="5" t="s">
        <v>1016</v>
      </c>
      <c r="L718" t="s">
        <v>813</v>
      </c>
      <c r="M718">
        <f>IF(L718=C718,1,0)</f>
        <v>1</v>
      </c>
    </row>
    <row r="719" spans="1:13" x14ac:dyDescent="0.3">
      <c r="A719" t="s">
        <v>784</v>
      </c>
      <c r="B719" t="s">
        <v>43</v>
      </c>
      <c r="C719" t="s">
        <v>813</v>
      </c>
      <c r="D719" t="s">
        <v>752</v>
      </c>
      <c r="E719" t="s">
        <v>764</v>
      </c>
      <c r="F719" t="s">
        <v>764</v>
      </c>
      <c r="G719" t="s">
        <v>764</v>
      </c>
      <c r="H719">
        <v>22.57</v>
      </c>
      <c r="I719">
        <v>88.37</v>
      </c>
      <c r="J719" t="s">
        <v>1232</v>
      </c>
      <c r="K719" s="5" t="s">
        <v>1017</v>
      </c>
      <c r="L719" t="s">
        <v>813</v>
      </c>
      <c r="M719">
        <f>IF(L719=C719,1,0)</f>
        <v>1</v>
      </c>
    </row>
    <row r="720" spans="1:13" x14ac:dyDescent="0.3">
      <c r="A720" t="s">
        <v>784</v>
      </c>
      <c r="B720" t="s">
        <v>43</v>
      </c>
      <c r="C720" t="s">
        <v>813</v>
      </c>
      <c r="D720" t="s">
        <v>753</v>
      </c>
      <c r="E720" t="s">
        <v>764</v>
      </c>
      <c r="F720" t="s">
        <v>764</v>
      </c>
      <c r="G720" t="s">
        <v>764</v>
      </c>
      <c r="H720">
        <v>25.17</v>
      </c>
      <c r="I720">
        <v>88.15</v>
      </c>
      <c r="J720" t="s">
        <v>1233</v>
      </c>
      <c r="K720" s="5" t="s">
        <v>1018</v>
      </c>
      <c r="L720" t="s">
        <v>813</v>
      </c>
      <c r="M720">
        <f>IF(L720=C720,1,0)</f>
        <v>1</v>
      </c>
    </row>
    <row r="721" spans="1:13" x14ac:dyDescent="0.3">
      <c r="A721" t="s">
        <v>784</v>
      </c>
      <c r="B721" t="s">
        <v>43</v>
      </c>
      <c r="C721" t="s">
        <v>813</v>
      </c>
      <c r="D721" t="s">
        <v>754</v>
      </c>
      <c r="E721" t="s">
        <v>764</v>
      </c>
      <c r="F721" t="s">
        <v>764</v>
      </c>
      <c r="G721" t="s">
        <v>764</v>
      </c>
      <c r="H721">
        <v>24.18</v>
      </c>
      <c r="I721">
        <v>88.32</v>
      </c>
      <c r="J721">
        <v>0</v>
      </c>
      <c r="K721" s="5"/>
    </row>
    <row r="722" spans="1:13" x14ac:dyDescent="0.3">
      <c r="A722" t="s">
        <v>784</v>
      </c>
      <c r="B722" t="s">
        <v>43</v>
      </c>
      <c r="C722" t="s">
        <v>813</v>
      </c>
      <c r="D722" t="s">
        <v>755</v>
      </c>
      <c r="E722" t="s">
        <v>764</v>
      </c>
      <c r="F722" t="s">
        <v>764</v>
      </c>
      <c r="G722" t="s">
        <v>764</v>
      </c>
      <c r="H722">
        <v>23.42</v>
      </c>
      <c r="I722">
        <v>88.37</v>
      </c>
      <c r="J722">
        <v>0</v>
      </c>
      <c r="K722" s="5"/>
    </row>
    <row r="723" spans="1:13" x14ac:dyDescent="0.3">
      <c r="A723" t="s">
        <v>784</v>
      </c>
      <c r="B723" t="s">
        <v>43</v>
      </c>
      <c r="C723" t="s">
        <v>813</v>
      </c>
      <c r="D723" t="s">
        <v>756</v>
      </c>
      <c r="E723" t="s">
        <v>764</v>
      </c>
      <c r="F723" t="s">
        <v>764</v>
      </c>
      <c r="G723" t="s">
        <v>764</v>
      </c>
      <c r="H723">
        <v>22.72</v>
      </c>
      <c r="I723">
        <v>88.52</v>
      </c>
      <c r="J723">
        <v>0</v>
      </c>
      <c r="K723" s="5"/>
    </row>
    <row r="724" spans="1:13" x14ac:dyDescent="0.3">
      <c r="A724" t="s">
        <v>784</v>
      </c>
      <c r="B724" t="s">
        <v>43</v>
      </c>
      <c r="C724" t="s">
        <v>813</v>
      </c>
      <c r="D724" t="s">
        <v>757</v>
      </c>
      <c r="E724" t="s">
        <v>764</v>
      </c>
      <c r="F724" t="s">
        <v>764</v>
      </c>
      <c r="G724" t="s">
        <v>764</v>
      </c>
      <c r="H724">
        <v>23.6002978</v>
      </c>
      <c r="I724" s="7">
        <v>87.304130099999995</v>
      </c>
      <c r="J724">
        <v>0</v>
      </c>
      <c r="K724" s="5"/>
    </row>
    <row r="725" spans="1:13" x14ac:dyDescent="0.3">
      <c r="A725" t="s">
        <v>784</v>
      </c>
      <c r="B725" t="s">
        <v>43</v>
      </c>
      <c r="C725" t="s">
        <v>813</v>
      </c>
      <c r="D725" t="s">
        <v>758</v>
      </c>
      <c r="E725" t="s">
        <v>764</v>
      </c>
      <c r="F725" t="s">
        <v>764</v>
      </c>
      <c r="G725" t="s">
        <v>764</v>
      </c>
      <c r="H725">
        <v>22.3600119</v>
      </c>
      <c r="I725" s="7">
        <v>87.411150500000005</v>
      </c>
      <c r="J725">
        <v>0</v>
      </c>
      <c r="K725" s="5"/>
    </row>
    <row r="726" spans="1:13" x14ac:dyDescent="0.3">
      <c r="A726" t="s">
        <v>784</v>
      </c>
      <c r="B726" t="s">
        <v>43</v>
      </c>
      <c r="C726" t="s">
        <v>813</v>
      </c>
      <c r="D726" t="s">
        <v>759</v>
      </c>
      <c r="E726" t="s">
        <v>764</v>
      </c>
      <c r="F726" t="s">
        <v>764</v>
      </c>
      <c r="G726" t="s">
        <v>764</v>
      </c>
      <c r="H726">
        <v>23.388408900000002</v>
      </c>
      <c r="I726" s="7">
        <v>87.960676300000003</v>
      </c>
      <c r="J726">
        <v>0</v>
      </c>
      <c r="K726" s="5"/>
    </row>
    <row r="727" spans="1:13" x14ac:dyDescent="0.3">
      <c r="A727" t="s">
        <v>784</v>
      </c>
      <c r="B727" t="s">
        <v>43</v>
      </c>
      <c r="C727" t="s">
        <v>813</v>
      </c>
      <c r="D727" t="s">
        <v>760</v>
      </c>
      <c r="E727" t="s">
        <v>764</v>
      </c>
      <c r="F727" t="s">
        <v>764</v>
      </c>
      <c r="G727" t="s">
        <v>764</v>
      </c>
      <c r="H727">
        <v>22.064845099999999</v>
      </c>
      <c r="I727" s="7">
        <v>87.837758600000001</v>
      </c>
      <c r="J727">
        <v>0</v>
      </c>
      <c r="K727" s="5"/>
    </row>
    <row r="728" spans="1:13" x14ac:dyDescent="0.3">
      <c r="A728" t="s">
        <v>784</v>
      </c>
      <c r="B728" t="s">
        <v>43</v>
      </c>
      <c r="C728" t="s">
        <v>813</v>
      </c>
      <c r="D728" t="s">
        <v>761</v>
      </c>
      <c r="E728" t="s">
        <v>767</v>
      </c>
      <c r="F728" t="s">
        <v>767</v>
      </c>
      <c r="G728" t="s">
        <v>767</v>
      </c>
      <c r="H728">
        <v>23.03</v>
      </c>
      <c r="I728">
        <v>88.47</v>
      </c>
      <c r="J728" t="s">
        <v>1234</v>
      </c>
      <c r="K728" s="5" t="s">
        <v>1019</v>
      </c>
      <c r="L728" t="s">
        <v>813</v>
      </c>
      <c r="M728">
        <f>IF(L728=C728,1,0)</f>
        <v>1</v>
      </c>
    </row>
    <row r="729" spans="1:13" x14ac:dyDescent="0.3">
      <c r="A729" t="s">
        <v>784</v>
      </c>
      <c r="B729" t="s">
        <v>43</v>
      </c>
      <c r="C729" t="s">
        <v>813</v>
      </c>
      <c r="D729" t="s">
        <v>762</v>
      </c>
      <c r="E729" t="s">
        <v>764</v>
      </c>
      <c r="F729" t="s">
        <v>764</v>
      </c>
      <c r="G729" t="s">
        <v>764</v>
      </c>
      <c r="H729">
        <v>22.52</v>
      </c>
      <c r="I729">
        <v>88.33</v>
      </c>
      <c r="J729">
        <v>0</v>
      </c>
      <c r="K729" s="5"/>
    </row>
    <row r="730" spans="1:13" x14ac:dyDescent="0.3">
      <c r="A730" t="s">
        <v>784</v>
      </c>
      <c r="B730" t="s">
        <v>43</v>
      </c>
      <c r="C730" t="s">
        <v>813</v>
      </c>
      <c r="D730" t="s">
        <v>763</v>
      </c>
      <c r="E730" t="s">
        <v>764</v>
      </c>
      <c r="F730" t="s">
        <v>764</v>
      </c>
      <c r="G730" t="s">
        <v>764</v>
      </c>
      <c r="H730">
        <v>25.62</v>
      </c>
      <c r="I730">
        <v>88.12</v>
      </c>
      <c r="J730">
        <v>0</v>
      </c>
      <c r="K730" s="5"/>
    </row>
  </sheetData>
  <autoFilter ref="D1:L730" xr:uid="{48C3B464-FF04-4353-A8AE-0A433A2C5F2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59CD-D0BE-4D5D-92F1-FE0536BDAE88}">
  <dimension ref="A1:E48"/>
  <sheetViews>
    <sheetView workbookViewId="0">
      <selection activeCell="B1" sqref="B1"/>
    </sheetView>
  </sheetViews>
  <sheetFormatPr defaultRowHeight="14.4" x14ac:dyDescent="0.3"/>
  <sheetData>
    <row r="1" spans="1:5" x14ac:dyDescent="0.3">
      <c r="A1" t="s">
        <v>198</v>
      </c>
      <c r="B1" t="s">
        <v>198</v>
      </c>
      <c r="C1" t="s">
        <v>769</v>
      </c>
      <c r="D1" t="s">
        <v>1240</v>
      </c>
      <c r="E1" t="s">
        <v>1241</v>
      </c>
    </row>
    <row r="2" spans="1:5" x14ac:dyDescent="0.3">
      <c r="A2" t="s">
        <v>769</v>
      </c>
      <c r="B2" t="s">
        <v>1242</v>
      </c>
      <c r="C2" t="s">
        <v>769</v>
      </c>
      <c r="D2" t="s">
        <v>1243</v>
      </c>
      <c r="E2" t="s">
        <v>1241</v>
      </c>
    </row>
    <row r="3" spans="1:5" x14ac:dyDescent="0.3">
      <c r="A3" t="s">
        <v>1240</v>
      </c>
      <c r="B3" t="s">
        <v>582</v>
      </c>
      <c r="C3" t="s">
        <v>1244</v>
      </c>
      <c r="D3" t="s">
        <v>1245</v>
      </c>
      <c r="E3" t="s">
        <v>1246</v>
      </c>
    </row>
    <row r="4" spans="1:5" x14ac:dyDescent="0.3">
      <c r="A4" t="s">
        <v>1241</v>
      </c>
      <c r="B4" t="s">
        <v>1247</v>
      </c>
      <c r="C4" t="s">
        <v>1244</v>
      </c>
      <c r="D4" t="s">
        <v>1245</v>
      </c>
      <c r="E4" t="s">
        <v>1246</v>
      </c>
    </row>
    <row r="5" spans="1:5" x14ac:dyDescent="0.3">
      <c r="A5" t="s">
        <v>1242</v>
      </c>
      <c r="B5" t="s">
        <v>752</v>
      </c>
      <c r="C5" t="s">
        <v>1244</v>
      </c>
      <c r="D5" t="s">
        <v>1245</v>
      </c>
      <c r="E5" t="s">
        <v>1246</v>
      </c>
    </row>
    <row r="6" spans="1:5" x14ac:dyDescent="0.3">
      <c r="A6" t="s">
        <v>769</v>
      </c>
      <c r="B6" t="s">
        <v>1248</v>
      </c>
      <c r="C6" t="s">
        <v>1244</v>
      </c>
      <c r="D6" t="s">
        <v>772</v>
      </c>
      <c r="E6" t="s">
        <v>1249</v>
      </c>
    </row>
    <row r="7" spans="1:5" x14ac:dyDescent="0.3">
      <c r="A7" t="s">
        <v>1243</v>
      </c>
      <c r="B7" t="s">
        <v>1250</v>
      </c>
      <c r="C7" t="s">
        <v>772</v>
      </c>
      <c r="D7" t="s">
        <v>772</v>
      </c>
      <c r="E7" t="s">
        <v>1249</v>
      </c>
    </row>
    <row r="8" spans="1:5" x14ac:dyDescent="0.3">
      <c r="A8" t="s">
        <v>1241</v>
      </c>
      <c r="B8" t="s">
        <v>617</v>
      </c>
      <c r="C8" t="s">
        <v>767</v>
      </c>
      <c r="D8" t="s">
        <v>1245</v>
      </c>
      <c r="E8" t="s">
        <v>1241</v>
      </c>
    </row>
    <row r="9" spans="1:5" x14ac:dyDescent="0.3">
      <c r="A9" t="s">
        <v>582</v>
      </c>
      <c r="B9" t="s">
        <v>423</v>
      </c>
      <c r="C9" t="s">
        <v>767</v>
      </c>
      <c r="D9" t="s">
        <v>1245</v>
      </c>
      <c r="E9" t="s">
        <v>1246</v>
      </c>
    </row>
    <row r="10" spans="1:5" x14ac:dyDescent="0.3">
      <c r="A10" t="s">
        <v>1244</v>
      </c>
      <c r="B10" t="s">
        <v>362</v>
      </c>
      <c r="C10" t="s">
        <v>767</v>
      </c>
      <c r="D10" t="s">
        <v>1243</v>
      </c>
      <c r="E10" t="s">
        <v>1241</v>
      </c>
    </row>
    <row r="11" spans="1:5" x14ac:dyDescent="0.3">
      <c r="A11" t="s">
        <v>1245</v>
      </c>
      <c r="B11" t="s">
        <v>16</v>
      </c>
      <c r="C11" t="s">
        <v>767</v>
      </c>
      <c r="D11" t="s">
        <v>1243</v>
      </c>
      <c r="E11" t="s">
        <v>1241</v>
      </c>
    </row>
    <row r="12" spans="1:5" x14ac:dyDescent="0.3">
      <c r="A12" t="s">
        <v>1246</v>
      </c>
      <c r="B12" t="s">
        <v>143</v>
      </c>
      <c r="C12" t="s">
        <v>767</v>
      </c>
      <c r="D12" t="s">
        <v>1251</v>
      </c>
      <c r="E12" t="s">
        <v>1241</v>
      </c>
    </row>
    <row r="13" spans="1:5" x14ac:dyDescent="0.3">
      <c r="A13" t="s">
        <v>1247</v>
      </c>
    </row>
    <row r="14" spans="1:5" x14ac:dyDescent="0.3">
      <c r="A14" t="s">
        <v>1244</v>
      </c>
    </row>
    <row r="15" spans="1:5" x14ac:dyDescent="0.3">
      <c r="A15" t="s">
        <v>1245</v>
      </c>
    </row>
    <row r="16" spans="1:5" x14ac:dyDescent="0.3">
      <c r="A16" t="s">
        <v>1246</v>
      </c>
    </row>
    <row r="17" spans="1:1" x14ac:dyDescent="0.3">
      <c r="A17" t="s">
        <v>752</v>
      </c>
    </row>
    <row r="18" spans="1:1" x14ac:dyDescent="0.3">
      <c r="A18" t="s">
        <v>1244</v>
      </c>
    </row>
    <row r="19" spans="1:1" x14ac:dyDescent="0.3">
      <c r="A19" t="s">
        <v>1245</v>
      </c>
    </row>
    <row r="20" spans="1:1" x14ac:dyDescent="0.3">
      <c r="A20" t="s">
        <v>1246</v>
      </c>
    </row>
    <row r="21" spans="1:1" x14ac:dyDescent="0.3">
      <c r="A21" t="s">
        <v>1248</v>
      </c>
    </row>
    <row r="22" spans="1:1" x14ac:dyDescent="0.3">
      <c r="A22" t="s">
        <v>1244</v>
      </c>
    </row>
    <row r="23" spans="1:1" x14ac:dyDescent="0.3">
      <c r="A23" t="s">
        <v>772</v>
      </c>
    </row>
    <row r="24" spans="1:1" x14ac:dyDescent="0.3">
      <c r="A24" t="s">
        <v>1249</v>
      </c>
    </row>
    <row r="25" spans="1:1" x14ac:dyDescent="0.3">
      <c r="A25" t="s">
        <v>1250</v>
      </c>
    </row>
    <row r="26" spans="1:1" x14ac:dyDescent="0.3">
      <c r="A26" t="s">
        <v>772</v>
      </c>
    </row>
    <row r="27" spans="1:1" x14ac:dyDescent="0.3">
      <c r="A27" t="s">
        <v>772</v>
      </c>
    </row>
    <row r="28" spans="1:1" x14ac:dyDescent="0.3">
      <c r="A28" t="s">
        <v>1249</v>
      </c>
    </row>
    <row r="29" spans="1:1" x14ac:dyDescent="0.3">
      <c r="A29" t="s">
        <v>617</v>
      </c>
    </row>
    <row r="30" spans="1:1" x14ac:dyDescent="0.3">
      <c r="A30" t="s">
        <v>767</v>
      </c>
    </row>
    <row r="31" spans="1:1" x14ac:dyDescent="0.3">
      <c r="A31" t="s">
        <v>1245</v>
      </c>
    </row>
    <row r="32" spans="1:1" x14ac:dyDescent="0.3">
      <c r="A32" t="s">
        <v>1241</v>
      </c>
    </row>
    <row r="33" spans="1:1" x14ac:dyDescent="0.3">
      <c r="A33" t="s">
        <v>423</v>
      </c>
    </row>
    <row r="34" spans="1:1" x14ac:dyDescent="0.3">
      <c r="A34" t="s">
        <v>767</v>
      </c>
    </row>
    <row r="35" spans="1:1" x14ac:dyDescent="0.3">
      <c r="A35" t="s">
        <v>1245</v>
      </c>
    </row>
    <row r="36" spans="1:1" x14ac:dyDescent="0.3">
      <c r="A36" t="s">
        <v>1246</v>
      </c>
    </row>
    <row r="37" spans="1:1" x14ac:dyDescent="0.3">
      <c r="A37" t="s">
        <v>362</v>
      </c>
    </row>
    <row r="38" spans="1:1" x14ac:dyDescent="0.3">
      <c r="A38" t="s">
        <v>767</v>
      </c>
    </row>
    <row r="39" spans="1:1" x14ac:dyDescent="0.3">
      <c r="A39" t="s">
        <v>1243</v>
      </c>
    </row>
    <row r="40" spans="1:1" x14ac:dyDescent="0.3">
      <c r="A40" t="s">
        <v>1241</v>
      </c>
    </row>
    <row r="41" spans="1:1" x14ac:dyDescent="0.3">
      <c r="A41" t="s">
        <v>16</v>
      </c>
    </row>
    <row r="42" spans="1:1" x14ac:dyDescent="0.3">
      <c r="A42" t="s">
        <v>767</v>
      </c>
    </row>
    <row r="43" spans="1:1" x14ac:dyDescent="0.3">
      <c r="A43" t="s">
        <v>1243</v>
      </c>
    </row>
    <row r="44" spans="1:1" x14ac:dyDescent="0.3">
      <c r="A44" t="s">
        <v>1241</v>
      </c>
    </row>
    <row r="45" spans="1:1" x14ac:dyDescent="0.3">
      <c r="A45" t="s">
        <v>143</v>
      </c>
    </row>
    <row r="46" spans="1:1" x14ac:dyDescent="0.3">
      <c r="A46" t="s">
        <v>767</v>
      </c>
    </row>
    <row r="47" spans="1:1" x14ac:dyDescent="0.3">
      <c r="A47" t="s">
        <v>1251</v>
      </c>
    </row>
    <row r="48" spans="1:1" x14ac:dyDescent="0.3">
      <c r="A48" t="s">
        <v>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Shabibi</dc:creator>
  <cp:lastModifiedBy>Yousuf Shabibi</cp:lastModifiedBy>
  <dcterms:created xsi:type="dcterms:W3CDTF">2026-01-09T06:25:16Z</dcterms:created>
  <dcterms:modified xsi:type="dcterms:W3CDTF">2026-01-30T12:21:17Z</dcterms:modified>
</cp:coreProperties>
</file>